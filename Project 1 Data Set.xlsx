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 Projects" sheetId="1" r:id="rId4"/>
    <sheet state="visible" name="Grading System" sheetId="2" r:id="rId5"/>
    <sheet state="visible" name="Averages" sheetId="3" r:id="rId6"/>
    <sheet state="visible" name="Grades" sheetId="4" r:id="rId7"/>
  </sheets>
  <definedNames/>
  <calcPr/>
  <extLst>
    <ext uri="GoogleSheetsCustomDataVersion2">
      <go:sheetsCustomData xmlns:go="http://customooxmlschemas.google.com/" r:id="rId8" roundtripDataChecksum="0s+5ukHqfXobdMWSQ4NR6Q9UPpqA5pssdd+xA6/DeCU="/>
    </ext>
  </extLst>
</workbook>
</file>

<file path=xl/sharedStrings.xml><?xml version="1.0" encoding="utf-8"?>
<sst xmlns="http://schemas.openxmlformats.org/spreadsheetml/2006/main" count="267" uniqueCount="147">
  <si>
    <t>Project</t>
  </si>
  <si>
    <t>Business Sector</t>
  </si>
  <si>
    <t>Budget ($)</t>
  </si>
  <si>
    <t xml:space="preserve">Percent Completion </t>
  </si>
  <si>
    <t>Budget Spent/ Actual Cost ($)</t>
  </si>
  <si>
    <t>Time Elapsed (months)</t>
  </si>
  <si>
    <t>Planned Duration (months)</t>
  </si>
  <si>
    <t>Planned Value</t>
  </si>
  <si>
    <t>Earned Value</t>
  </si>
  <si>
    <t>Cost Vairance (CV)</t>
  </si>
  <si>
    <t>Cost Performance Index</t>
  </si>
  <si>
    <t>Schedule Variance</t>
  </si>
  <si>
    <t>Schedule Performance Index</t>
  </si>
  <si>
    <t>Budget Status</t>
  </si>
  <si>
    <t>Schedule Status</t>
  </si>
  <si>
    <t>Completion Status</t>
  </si>
  <si>
    <t>To-Complete Performance Index</t>
  </si>
  <si>
    <t>Project 1</t>
  </si>
  <si>
    <t>E-Commerce</t>
  </si>
  <si>
    <t>Project 2</t>
  </si>
  <si>
    <t>Clean Energy</t>
  </si>
  <si>
    <t>Project 3</t>
  </si>
  <si>
    <t>EdTech</t>
  </si>
  <si>
    <t>Project 4</t>
  </si>
  <si>
    <t>Healthcare IT</t>
  </si>
  <si>
    <t>Project 5</t>
  </si>
  <si>
    <t>FinTech</t>
  </si>
  <si>
    <t>Project 6</t>
  </si>
  <si>
    <t>Project 7</t>
  </si>
  <si>
    <t>Project 8</t>
  </si>
  <si>
    <t>Project 9</t>
  </si>
  <si>
    <t>Enterprise Software</t>
  </si>
  <si>
    <t>Project 10</t>
  </si>
  <si>
    <t>GovTech</t>
  </si>
  <si>
    <t>Project 11</t>
  </si>
  <si>
    <t>Project 12</t>
  </si>
  <si>
    <t>Project 13</t>
  </si>
  <si>
    <t>Project 14</t>
  </si>
  <si>
    <t>Project 15</t>
  </si>
  <si>
    <t>Cybersecurity</t>
  </si>
  <si>
    <t>Project 16</t>
  </si>
  <si>
    <t>Project 17</t>
  </si>
  <si>
    <t>Project 18</t>
  </si>
  <si>
    <t>Project 19</t>
  </si>
  <si>
    <t>Project 20</t>
  </si>
  <si>
    <t>Project 21</t>
  </si>
  <si>
    <t>Project 22</t>
  </si>
  <si>
    <t>Project 23</t>
  </si>
  <si>
    <t>Project 24</t>
  </si>
  <si>
    <t>Project 25</t>
  </si>
  <si>
    <t>Project 26</t>
  </si>
  <si>
    <t>Artificial Intelligence</t>
  </si>
  <si>
    <t>Project 27</t>
  </si>
  <si>
    <t>Project 28</t>
  </si>
  <si>
    <t>Project 29</t>
  </si>
  <si>
    <t>Project 30</t>
  </si>
  <si>
    <t>Project 31</t>
  </si>
  <si>
    <t>Project 32</t>
  </si>
  <si>
    <t>Telecommunications</t>
  </si>
  <si>
    <t>Project 33</t>
  </si>
  <si>
    <t>Project 34</t>
  </si>
  <si>
    <t>Project 35</t>
  </si>
  <si>
    <t>Project 36</t>
  </si>
  <si>
    <t>Project 37</t>
  </si>
  <si>
    <t>Project 38</t>
  </si>
  <si>
    <t>Project 39</t>
  </si>
  <si>
    <t>Project 40</t>
  </si>
  <si>
    <t>Project 41</t>
  </si>
  <si>
    <t>Project 42</t>
  </si>
  <si>
    <t>Project 43</t>
  </si>
  <si>
    <t>Project 44</t>
  </si>
  <si>
    <t>Project 45</t>
  </si>
  <si>
    <t>Project 46</t>
  </si>
  <si>
    <t>Project 47</t>
  </si>
  <si>
    <t>Project 48</t>
  </si>
  <si>
    <t>Project 49</t>
  </si>
  <si>
    <t>Project 50</t>
  </si>
  <si>
    <t>Project 51</t>
  </si>
  <si>
    <t>Project 52</t>
  </si>
  <si>
    <t>Project 53</t>
  </si>
  <si>
    <t>Project 54</t>
  </si>
  <si>
    <t>Project 55</t>
  </si>
  <si>
    <t>Project 56</t>
  </si>
  <si>
    <t>Project 57</t>
  </si>
  <si>
    <t>Project 58</t>
  </si>
  <si>
    <t>Project 59</t>
  </si>
  <si>
    <t>Project 60</t>
  </si>
  <si>
    <t>Project 61</t>
  </si>
  <si>
    <t>Project 62</t>
  </si>
  <si>
    <t>Project 63</t>
  </si>
  <si>
    <t>Project 64</t>
  </si>
  <si>
    <t>Project 65</t>
  </si>
  <si>
    <t>Project 66</t>
  </si>
  <si>
    <t>Project 67</t>
  </si>
  <si>
    <t>Project 68</t>
  </si>
  <si>
    <t>Project 69</t>
  </si>
  <si>
    <t>Project 70</t>
  </si>
  <si>
    <t>Project 71</t>
  </si>
  <si>
    <t>Project 72</t>
  </si>
  <si>
    <t>Project 73</t>
  </si>
  <si>
    <t>Project 74</t>
  </si>
  <si>
    <t>Project 75</t>
  </si>
  <si>
    <t>Project 76</t>
  </si>
  <si>
    <t>Project 77</t>
  </si>
  <si>
    <t>Project 78</t>
  </si>
  <si>
    <t>Project 79</t>
  </si>
  <si>
    <t>Project 80</t>
  </si>
  <si>
    <t>Project 81</t>
  </si>
  <si>
    <t>Project 82</t>
  </si>
  <si>
    <t>Project 83</t>
  </si>
  <si>
    <t>Project 84</t>
  </si>
  <si>
    <t>Project 85</t>
  </si>
  <si>
    <t>Project 86</t>
  </si>
  <si>
    <t>Project 87</t>
  </si>
  <si>
    <t>Project 88</t>
  </si>
  <si>
    <t>Project 89</t>
  </si>
  <si>
    <t>Project 90</t>
  </si>
  <si>
    <t>Project 91</t>
  </si>
  <si>
    <t>Project 92</t>
  </si>
  <si>
    <t>Project 93</t>
  </si>
  <si>
    <t>Project 94</t>
  </si>
  <si>
    <t>Project 95</t>
  </si>
  <si>
    <t>Project 96</t>
  </si>
  <si>
    <t>Project 97</t>
  </si>
  <si>
    <t>Project 98</t>
  </si>
  <si>
    <t>Project 99</t>
  </si>
  <si>
    <t>Project 100</t>
  </si>
  <si>
    <t>Average CPI</t>
  </si>
  <si>
    <t>Average SPI</t>
  </si>
  <si>
    <t>Budget Compliance</t>
  </si>
  <si>
    <t>Budget Reserve Level</t>
  </si>
  <si>
    <t>TCPI Compliance</t>
  </si>
  <si>
    <t>Total Sector Score</t>
  </si>
  <si>
    <t>Average CPI &gt;.9</t>
  </si>
  <si>
    <t>Average SPI &gt; .75</t>
  </si>
  <si>
    <t>Fewer Than 50 % Over Budget</t>
  </si>
  <si>
    <t>Budget Reserve &gt;= 30% of total budget</t>
  </si>
  <si>
    <t>Average TCPI &gt; .9</t>
  </si>
  <si>
    <t>Each requirement is worth a single point on a 5 point scale</t>
  </si>
  <si>
    <t>The sector grade is determined by their performance in this regard</t>
  </si>
  <si>
    <t>Averge CPI</t>
  </si>
  <si>
    <t>% Over Budget</t>
  </si>
  <si>
    <t>% Under Budget</t>
  </si>
  <si>
    <t>Sector Budget Reserve or Deficit</t>
  </si>
  <si>
    <t>Sector Total Budget</t>
  </si>
  <si>
    <t>Average TCPI</t>
  </si>
  <si>
    <t>Performance Grade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</si>
</sst>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2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Tech Projec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101" displayName="Project_Metrics_Analysis" name="Project_Metrics_Analysis" id="1">
  <tableColumns count="17">
    <tableColumn name="Project" id="1"/>
    <tableColumn name="Business Sector" id="2"/>
    <tableColumn name="Budget ($)" id="3"/>
    <tableColumn name="Percent Completion " id="4"/>
    <tableColumn name="Budget Spent/ Actual Cost ($)" id="5"/>
    <tableColumn name="Time Elapsed (months)" id="6"/>
    <tableColumn name="Planned Duration (months)" id="7"/>
    <tableColumn name="Planned Value" id="8"/>
    <tableColumn name="Earned Value" id="9"/>
    <tableColumn name="Cost Vairance (CV)" id="10"/>
    <tableColumn name="Cost Performance Index" id="11"/>
    <tableColumn name="Schedule Variance" id="12"/>
    <tableColumn name="Schedule Performance Index" id="13"/>
    <tableColumn name="Budget Status" id="14"/>
    <tableColumn name="Schedule Status" id="15"/>
    <tableColumn name="Completion Status" id="16"/>
    <tableColumn name="To-Complete Performance Index" id="17"/>
  </tableColumns>
  <tableStyleInfo name="Tech Proje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5.0"/>
    <col customWidth="1" min="3" max="3" width="19.86"/>
    <col customWidth="1" min="4" max="4" width="28.71"/>
    <col customWidth="1" min="5" max="5" width="38.14"/>
    <col customWidth="1" min="6" max="6" width="31.86"/>
    <col customWidth="1" min="7" max="7" width="32.29"/>
    <col customWidth="1" min="8" max="8" width="23.57"/>
    <col customWidth="1" min="9" max="9" width="22.43"/>
    <col customWidth="1" min="10" max="10" width="27.86"/>
    <col customWidth="1" min="11" max="11" width="32.86"/>
    <col customWidth="1" min="12" max="12" width="27.57"/>
    <col customWidth="1" min="13" max="13" width="37.14"/>
    <col customWidth="1" min="14" max="14" width="19.57"/>
    <col customWidth="1" min="15" max="15" width="21.57"/>
    <col customWidth="1" min="16" max="16" width="23.71"/>
    <col customWidth="1" min="17" max="17" width="54.29"/>
    <col customWidth="1" min="18" max="26" width="8.71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ht="22.5" customHeight="1">
      <c r="A2" s="5" t="s">
        <v>17</v>
      </c>
      <c r="B2" s="5" t="s">
        <v>18</v>
      </c>
      <c r="C2" s="6">
        <v>120000.0</v>
      </c>
      <c r="D2" s="7">
        <v>0.47000000000000003</v>
      </c>
      <c r="E2" s="6">
        <v>16998.0</v>
      </c>
      <c r="F2" s="7">
        <v>8.0</v>
      </c>
      <c r="G2" s="7">
        <v>18.0</v>
      </c>
      <c r="H2" s="6">
        <f t="shared" ref="H2:H101" si="1">(F2/G2)*C2</f>
        <v>53333.33333</v>
      </c>
      <c r="I2" s="6">
        <f t="shared" ref="I2:I101" si="2">D2*C2</f>
        <v>56400</v>
      </c>
      <c r="J2" s="6">
        <f t="shared" ref="J2:J101" si="3">I2-E2</f>
        <v>39402</v>
      </c>
      <c r="K2" s="7">
        <f t="shared" ref="K2:K101" si="4">I2/E2</f>
        <v>3.318037416</v>
      </c>
      <c r="L2" s="6">
        <f t="shared" ref="L2:L101" si="5">I2-H2</f>
        <v>3066.666667</v>
      </c>
      <c r="M2" s="7">
        <f t="shared" ref="M2:M101" si="6">(I2/H2)</f>
        <v>1.0575</v>
      </c>
      <c r="N2" s="5" t="str">
        <f t="shared" ref="N2:N101" si="7">IFS(J2&lt;0,"Over Budget",J2&gt;=0,"Under Budget")</f>
        <v>Under Budget</v>
      </c>
      <c r="O2" s="5" t="str">
        <f t="shared" ref="O2:O101" si="8">IFS(I2&lt;H2,"Behind Schedule",I2 = H2, "On Schedule",I2&gt;H2, "Ahead of Schedule")</f>
        <v>Ahead of Schedule</v>
      </c>
      <c r="P2" s="5" t="str">
        <f t="shared" ref="P2:P101" si="9">IFS(D2&lt;1,"In Progress",D2=1,"Complete")</f>
        <v>In Progress</v>
      </c>
      <c r="Q2" s="8">
        <f t="shared" ref="Q2:Q101" si="10">(C2-I2)/(C2-E2)</f>
        <v>0.6174637386</v>
      </c>
    </row>
    <row r="3" ht="22.5" customHeight="1">
      <c r="A3" s="5" t="s">
        <v>19</v>
      </c>
      <c r="B3" s="5" t="s">
        <v>20</v>
      </c>
      <c r="C3" s="6">
        <v>250000.0</v>
      </c>
      <c r="D3" s="7">
        <v>1.0</v>
      </c>
      <c r="E3" s="6">
        <v>90225.0</v>
      </c>
      <c r="F3" s="7">
        <v>13.0</v>
      </c>
      <c r="G3" s="7">
        <v>20.0</v>
      </c>
      <c r="H3" s="6">
        <f t="shared" si="1"/>
        <v>162500</v>
      </c>
      <c r="I3" s="6">
        <f t="shared" si="2"/>
        <v>250000</v>
      </c>
      <c r="J3" s="6">
        <f t="shared" si="3"/>
        <v>159775</v>
      </c>
      <c r="K3" s="7">
        <f t="shared" si="4"/>
        <v>2.770850651</v>
      </c>
      <c r="L3" s="6">
        <f t="shared" si="5"/>
        <v>87500</v>
      </c>
      <c r="M3" s="7">
        <f t="shared" si="6"/>
        <v>1.538461538</v>
      </c>
      <c r="N3" s="5" t="str">
        <f t="shared" si="7"/>
        <v>Under Budget</v>
      </c>
      <c r="O3" s="5" t="str">
        <f t="shared" si="8"/>
        <v>Ahead of Schedule</v>
      </c>
      <c r="P3" s="5" t="str">
        <f t="shared" si="9"/>
        <v>Complete</v>
      </c>
      <c r="Q3" s="8">
        <f t="shared" si="10"/>
        <v>0</v>
      </c>
    </row>
    <row r="4" ht="22.5" customHeight="1">
      <c r="A4" s="5" t="s">
        <v>21</v>
      </c>
      <c r="B4" s="5" t="s">
        <v>22</v>
      </c>
      <c r="C4" s="6">
        <v>80000.0</v>
      </c>
      <c r="D4" s="7">
        <v>0.58</v>
      </c>
      <c r="E4" s="6">
        <v>5206.0</v>
      </c>
      <c r="F4" s="7">
        <v>9.0</v>
      </c>
      <c r="G4" s="7">
        <v>14.0</v>
      </c>
      <c r="H4" s="6">
        <f t="shared" si="1"/>
        <v>51428.57143</v>
      </c>
      <c r="I4" s="6">
        <f t="shared" si="2"/>
        <v>46400</v>
      </c>
      <c r="J4" s="6">
        <f t="shared" si="3"/>
        <v>41194</v>
      </c>
      <c r="K4" s="7">
        <f t="shared" si="4"/>
        <v>8.912792931</v>
      </c>
      <c r="L4" s="6">
        <f t="shared" si="5"/>
        <v>-5028.571429</v>
      </c>
      <c r="M4" s="7">
        <f t="shared" si="6"/>
        <v>0.9022222222</v>
      </c>
      <c r="N4" s="5" t="str">
        <f t="shared" si="7"/>
        <v>Under Budget</v>
      </c>
      <c r="O4" s="5" t="str">
        <f t="shared" si="8"/>
        <v>Behind Schedule</v>
      </c>
      <c r="P4" s="5" t="str">
        <f t="shared" si="9"/>
        <v>In Progress</v>
      </c>
      <c r="Q4" s="8">
        <f t="shared" si="10"/>
        <v>0.4492338958</v>
      </c>
    </row>
    <row r="5" ht="22.5" customHeight="1">
      <c r="A5" s="5" t="s">
        <v>23</v>
      </c>
      <c r="B5" s="5" t="s">
        <v>24</v>
      </c>
      <c r="C5" s="6">
        <v>300000.0</v>
      </c>
      <c r="D5" s="7">
        <v>0.6900000000000001</v>
      </c>
      <c r="E5" s="6">
        <v>19154.0</v>
      </c>
      <c r="F5" s="7">
        <v>1.0</v>
      </c>
      <c r="G5" s="7">
        <v>20.0</v>
      </c>
      <c r="H5" s="6">
        <f t="shared" si="1"/>
        <v>15000</v>
      </c>
      <c r="I5" s="6">
        <f t="shared" si="2"/>
        <v>207000</v>
      </c>
      <c r="J5" s="6">
        <f t="shared" si="3"/>
        <v>187846</v>
      </c>
      <c r="K5" s="7">
        <f t="shared" si="4"/>
        <v>10.80714211</v>
      </c>
      <c r="L5" s="6">
        <f t="shared" si="5"/>
        <v>192000</v>
      </c>
      <c r="M5" s="7">
        <f t="shared" si="6"/>
        <v>13.8</v>
      </c>
      <c r="N5" s="5" t="str">
        <f t="shared" si="7"/>
        <v>Under Budget</v>
      </c>
      <c r="O5" s="5" t="str">
        <f t="shared" si="8"/>
        <v>Ahead of Schedule</v>
      </c>
      <c r="P5" s="5" t="str">
        <f t="shared" si="9"/>
        <v>In Progress</v>
      </c>
      <c r="Q5" s="8">
        <f t="shared" si="10"/>
        <v>0.3311423342</v>
      </c>
    </row>
    <row r="6" ht="22.5" customHeight="1">
      <c r="A6" s="5" t="s">
        <v>25</v>
      </c>
      <c r="B6" s="5" t="s">
        <v>26</v>
      </c>
      <c r="C6" s="6">
        <v>150000.0</v>
      </c>
      <c r="D6" s="7">
        <v>0.78</v>
      </c>
      <c r="E6" s="6">
        <v>66979.0</v>
      </c>
      <c r="F6" s="7">
        <v>9.0</v>
      </c>
      <c r="G6" s="7">
        <v>12.0</v>
      </c>
      <c r="H6" s="6">
        <f t="shared" si="1"/>
        <v>112500</v>
      </c>
      <c r="I6" s="6">
        <f t="shared" si="2"/>
        <v>117000</v>
      </c>
      <c r="J6" s="6">
        <f t="shared" si="3"/>
        <v>50021</v>
      </c>
      <c r="K6" s="7">
        <f t="shared" si="4"/>
        <v>1.746816166</v>
      </c>
      <c r="L6" s="6">
        <f t="shared" si="5"/>
        <v>4500</v>
      </c>
      <c r="M6" s="7">
        <f t="shared" si="6"/>
        <v>1.04</v>
      </c>
      <c r="N6" s="5" t="str">
        <f t="shared" si="7"/>
        <v>Under Budget</v>
      </c>
      <c r="O6" s="5" t="str">
        <f t="shared" si="8"/>
        <v>Ahead of Schedule</v>
      </c>
      <c r="P6" s="5" t="str">
        <f t="shared" si="9"/>
        <v>In Progress</v>
      </c>
      <c r="Q6" s="8">
        <f t="shared" si="10"/>
        <v>0.3974897917</v>
      </c>
    </row>
    <row r="7" ht="22.5" customHeight="1">
      <c r="A7" s="5" t="s">
        <v>27</v>
      </c>
      <c r="B7" s="5" t="s">
        <v>18</v>
      </c>
      <c r="C7" s="6">
        <v>500000.0</v>
      </c>
      <c r="D7" s="7">
        <v>0.24</v>
      </c>
      <c r="E7" s="6">
        <v>490443.0</v>
      </c>
      <c r="F7" s="7">
        <v>14.0</v>
      </c>
      <c r="G7" s="7">
        <v>20.0</v>
      </c>
      <c r="H7" s="6">
        <f t="shared" si="1"/>
        <v>350000</v>
      </c>
      <c r="I7" s="6">
        <f t="shared" si="2"/>
        <v>120000</v>
      </c>
      <c r="J7" s="6">
        <f t="shared" si="3"/>
        <v>-370443</v>
      </c>
      <c r="K7" s="7">
        <f t="shared" si="4"/>
        <v>0.2446767514</v>
      </c>
      <c r="L7" s="6">
        <f t="shared" si="5"/>
        <v>-230000</v>
      </c>
      <c r="M7" s="7">
        <f t="shared" si="6"/>
        <v>0.3428571429</v>
      </c>
      <c r="N7" s="5" t="str">
        <f t="shared" si="7"/>
        <v>Over Budget</v>
      </c>
      <c r="O7" s="5" t="str">
        <f t="shared" si="8"/>
        <v>Behind Schedule</v>
      </c>
      <c r="P7" s="5" t="str">
        <f t="shared" si="9"/>
        <v>In Progress</v>
      </c>
      <c r="Q7" s="8">
        <f t="shared" si="10"/>
        <v>39.76143141</v>
      </c>
    </row>
    <row r="8" ht="22.5" customHeight="1">
      <c r="A8" s="5" t="s">
        <v>28</v>
      </c>
      <c r="B8" s="5" t="s">
        <v>22</v>
      </c>
      <c r="C8" s="6">
        <v>90000.0</v>
      </c>
      <c r="D8" s="7">
        <v>1.0</v>
      </c>
      <c r="E8" s="6">
        <v>17399.0</v>
      </c>
      <c r="F8" s="7">
        <v>10.0</v>
      </c>
      <c r="G8" s="7">
        <v>14.0</v>
      </c>
      <c r="H8" s="6">
        <f t="shared" si="1"/>
        <v>64285.71429</v>
      </c>
      <c r="I8" s="6">
        <f t="shared" si="2"/>
        <v>90000</v>
      </c>
      <c r="J8" s="6">
        <f t="shared" si="3"/>
        <v>72601</v>
      </c>
      <c r="K8" s="7">
        <f t="shared" si="4"/>
        <v>5.172711075</v>
      </c>
      <c r="L8" s="6">
        <f t="shared" si="5"/>
        <v>25714.28571</v>
      </c>
      <c r="M8" s="7">
        <f t="shared" si="6"/>
        <v>1.4</v>
      </c>
      <c r="N8" s="5" t="str">
        <f t="shared" si="7"/>
        <v>Under Budget</v>
      </c>
      <c r="O8" s="5" t="str">
        <f t="shared" si="8"/>
        <v>Ahead of Schedule</v>
      </c>
      <c r="P8" s="5" t="str">
        <f t="shared" si="9"/>
        <v>Complete</v>
      </c>
      <c r="Q8" s="8">
        <f t="shared" si="10"/>
        <v>0</v>
      </c>
    </row>
    <row r="9" ht="22.5" customHeight="1">
      <c r="A9" s="5" t="s">
        <v>29</v>
      </c>
      <c r="B9" s="5" t="s">
        <v>24</v>
      </c>
      <c r="C9" s="6">
        <v>220000.0</v>
      </c>
      <c r="D9" s="7">
        <v>0.65</v>
      </c>
      <c r="E9" s="6">
        <v>4440.0</v>
      </c>
      <c r="F9" s="7">
        <v>1.0</v>
      </c>
      <c r="G9" s="7">
        <v>15.0</v>
      </c>
      <c r="H9" s="6">
        <f t="shared" si="1"/>
        <v>14666.66667</v>
      </c>
      <c r="I9" s="6">
        <f t="shared" si="2"/>
        <v>143000</v>
      </c>
      <c r="J9" s="6">
        <f t="shared" si="3"/>
        <v>138560</v>
      </c>
      <c r="K9" s="7">
        <f t="shared" si="4"/>
        <v>32.20720721</v>
      </c>
      <c r="L9" s="6">
        <f t="shared" si="5"/>
        <v>128333.3333</v>
      </c>
      <c r="M9" s="7">
        <f t="shared" si="6"/>
        <v>9.75</v>
      </c>
      <c r="N9" s="5" t="str">
        <f t="shared" si="7"/>
        <v>Under Budget</v>
      </c>
      <c r="O9" s="5" t="str">
        <f t="shared" si="8"/>
        <v>Ahead of Schedule</v>
      </c>
      <c r="P9" s="5" t="str">
        <f t="shared" si="9"/>
        <v>In Progress</v>
      </c>
      <c r="Q9" s="8">
        <f t="shared" si="10"/>
        <v>0.3572091297</v>
      </c>
    </row>
    <row r="10" ht="22.5" customHeight="1">
      <c r="A10" s="5" t="s">
        <v>30</v>
      </c>
      <c r="B10" s="5" t="s">
        <v>31</v>
      </c>
      <c r="C10" s="6">
        <v>400000.0</v>
      </c>
      <c r="D10" s="7">
        <v>0.2</v>
      </c>
      <c r="E10" s="6">
        <v>383135.0</v>
      </c>
      <c r="F10" s="7">
        <v>3.0</v>
      </c>
      <c r="G10" s="7">
        <v>20.0</v>
      </c>
      <c r="H10" s="6">
        <f t="shared" si="1"/>
        <v>60000</v>
      </c>
      <c r="I10" s="6">
        <f t="shared" si="2"/>
        <v>80000</v>
      </c>
      <c r="J10" s="6">
        <f t="shared" si="3"/>
        <v>-303135</v>
      </c>
      <c r="K10" s="7">
        <f t="shared" si="4"/>
        <v>0.2088036854</v>
      </c>
      <c r="L10" s="6">
        <f t="shared" si="5"/>
        <v>20000</v>
      </c>
      <c r="M10" s="7">
        <f t="shared" si="6"/>
        <v>1.333333333</v>
      </c>
      <c r="N10" s="5" t="str">
        <f t="shared" si="7"/>
        <v>Over Budget</v>
      </c>
      <c r="O10" s="5" t="str">
        <f t="shared" si="8"/>
        <v>Ahead of Schedule</v>
      </c>
      <c r="P10" s="5" t="str">
        <f t="shared" si="9"/>
        <v>In Progress</v>
      </c>
      <c r="Q10" s="8">
        <f t="shared" si="10"/>
        <v>18.97420694</v>
      </c>
    </row>
    <row r="11" ht="22.5" customHeight="1">
      <c r="A11" s="5" t="s">
        <v>32</v>
      </c>
      <c r="B11" s="5" t="s">
        <v>33</v>
      </c>
      <c r="C11" s="6">
        <v>75000.0</v>
      </c>
      <c r="D11" s="7">
        <v>0.49</v>
      </c>
      <c r="E11" s="6">
        <v>73383.0</v>
      </c>
      <c r="F11" s="7">
        <v>1.0</v>
      </c>
      <c r="G11" s="7">
        <v>12.0</v>
      </c>
      <c r="H11" s="6">
        <f t="shared" si="1"/>
        <v>6250</v>
      </c>
      <c r="I11" s="6">
        <f t="shared" si="2"/>
        <v>36750</v>
      </c>
      <c r="J11" s="6">
        <f t="shared" si="3"/>
        <v>-36633</v>
      </c>
      <c r="K11" s="7">
        <f t="shared" si="4"/>
        <v>0.5007971874</v>
      </c>
      <c r="L11" s="6">
        <f t="shared" si="5"/>
        <v>30500</v>
      </c>
      <c r="M11" s="7">
        <f t="shared" si="6"/>
        <v>5.88</v>
      </c>
      <c r="N11" s="5" t="str">
        <f t="shared" si="7"/>
        <v>Over Budget</v>
      </c>
      <c r="O11" s="5" t="str">
        <f t="shared" si="8"/>
        <v>Ahead of Schedule</v>
      </c>
      <c r="P11" s="5" t="str">
        <f t="shared" si="9"/>
        <v>In Progress</v>
      </c>
      <c r="Q11" s="8">
        <f t="shared" si="10"/>
        <v>23.65491651</v>
      </c>
    </row>
    <row r="12" ht="22.5" customHeight="1">
      <c r="A12" s="5" t="s">
        <v>34</v>
      </c>
      <c r="B12" s="5" t="s">
        <v>24</v>
      </c>
      <c r="C12" s="6">
        <v>600000.0</v>
      </c>
      <c r="D12" s="7">
        <v>0.05</v>
      </c>
      <c r="E12" s="6">
        <v>436189.0</v>
      </c>
      <c r="F12" s="7">
        <v>3.0</v>
      </c>
      <c r="G12" s="7">
        <v>20.0</v>
      </c>
      <c r="H12" s="6">
        <f t="shared" si="1"/>
        <v>90000</v>
      </c>
      <c r="I12" s="6">
        <f t="shared" si="2"/>
        <v>30000</v>
      </c>
      <c r="J12" s="6">
        <f t="shared" si="3"/>
        <v>-406189</v>
      </c>
      <c r="K12" s="7">
        <f t="shared" si="4"/>
        <v>0.06877752534</v>
      </c>
      <c r="L12" s="6">
        <f t="shared" si="5"/>
        <v>-60000</v>
      </c>
      <c r="M12" s="7">
        <f t="shared" si="6"/>
        <v>0.3333333333</v>
      </c>
      <c r="N12" s="5" t="str">
        <f t="shared" si="7"/>
        <v>Over Budget</v>
      </c>
      <c r="O12" s="5" t="str">
        <f t="shared" si="8"/>
        <v>Behind Schedule</v>
      </c>
      <c r="P12" s="5" t="str">
        <f t="shared" si="9"/>
        <v>In Progress</v>
      </c>
      <c r="Q12" s="8">
        <f t="shared" si="10"/>
        <v>3.479619806</v>
      </c>
    </row>
    <row r="13" ht="22.5" customHeight="1">
      <c r="A13" s="5" t="s">
        <v>35</v>
      </c>
      <c r="B13" s="5" t="s">
        <v>33</v>
      </c>
      <c r="C13" s="6">
        <v>130000.0</v>
      </c>
      <c r="D13" s="7">
        <v>0.98</v>
      </c>
      <c r="E13" s="6">
        <v>44.0</v>
      </c>
      <c r="F13" s="7">
        <v>9.0</v>
      </c>
      <c r="G13" s="7">
        <v>12.0</v>
      </c>
      <c r="H13" s="6">
        <f t="shared" si="1"/>
        <v>97500</v>
      </c>
      <c r="I13" s="6">
        <f t="shared" si="2"/>
        <v>127400</v>
      </c>
      <c r="J13" s="6">
        <f t="shared" si="3"/>
        <v>127356</v>
      </c>
      <c r="K13" s="7">
        <f t="shared" si="4"/>
        <v>2895.454545</v>
      </c>
      <c r="L13" s="6">
        <f t="shared" si="5"/>
        <v>29900</v>
      </c>
      <c r="M13" s="7">
        <f t="shared" si="6"/>
        <v>1.306666667</v>
      </c>
      <c r="N13" s="5" t="str">
        <f t="shared" si="7"/>
        <v>Under Budget</v>
      </c>
      <c r="O13" s="5" t="str">
        <f t="shared" si="8"/>
        <v>Ahead of Schedule</v>
      </c>
      <c r="P13" s="5" t="str">
        <f t="shared" si="9"/>
        <v>In Progress</v>
      </c>
      <c r="Q13" s="8">
        <f t="shared" si="10"/>
        <v>0.02000677152</v>
      </c>
    </row>
    <row r="14" ht="22.5" customHeight="1">
      <c r="A14" s="5" t="s">
        <v>36</v>
      </c>
      <c r="B14" s="5" t="s">
        <v>31</v>
      </c>
      <c r="C14" s="6">
        <v>270000.0</v>
      </c>
      <c r="D14" s="7">
        <v>0.6</v>
      </c>
      <c r="E14" s="6">
        <v>254155.0</v>
      </c>
      <c r="F14" s="7">
        <v>15.0</v>
      </c>
      <c r="G14" s="7">
        <v>20.0</v>
      </c>
      <c r="H14" s="6">
        <f t="shared" si="1"/>
        <v>202500</v>
      </c>
      <c r="I14" s="6">
        <f t="shared" si="2"/>
        <v>162000</v>
      </c>
      <c r="J14" s="6">
        <f t="shared" si="3"/>
        <v>-92155</v>
      </c>
      <c r="K14" s="7">
        <f t="shared" si="4"/>
        <v>0.6374063072</v>
      </c>
      <c r="L14" s="6">
        <f t="shared" si="5"/>
        <v>-40500</v>
      </c>
      <c r="M14" s="7">
        <f t="shared" si="6"/>
        <v>0.8</v>
      </c>
      <c r="N14" s="5" t="str">
        <f t="shared" si="7"/>
        <v>Over Budget</v>
      </c>
      <c r="O14" s="5" t="str">
        <f t="shared" si="8"/>
        <v>Behind Schedule</v>
      </c>
      <c r="P14" s="5" t="str">
        <f t="shared" si="9"/>
        <v>In Progress</v>
      </c>
      <c r="Q14" s="8">
        <f t="shared" si="10"/>
        <v>6.816030293</v>
      </c>
    </row>
    <row r="15" ht="22.5" customHeight="1">
      <c r="A15" s="5" t="s">
        <v>37</v>
      </c>
      <c r="B15" s="5" t="s">
        <v>22</v>
      </c>
      <c r="C15" s="6">
        <v>95000.0</v>
      </c>
      <c r="D15" s="7">
        <v>0.27</v>
      </c>
      <c r="E15" s="6">
        <v>4322.0</v>
      </c>
      <c r="F15" s="7">
        <v>8.0</v>
      </c>
      <c r="G15" s="7">
        <v>12.0</v>
      </c>
      <c r="H15" s="6">
        <f t="shared" si="1"/>
        <v>63333.33333</v>
      </c>
      <c r="I15" s="6">
        <f t="shared" si="2"/>
        <v>25650</v>
      </c>
      <c r="J15" s="6">
        <f t="shared" si="3"/>
        <v>21328</v>
      </c>
      <c r="K15" s="7">
        <f t="shared" si="4"/>
        <v>5.934752429</v>
      </c>
      <c r="L15" s="6">
        <f t="shared" si="5"/>
        <v>-37683.33333</v>
      </c>
      <c r="M15" s="7">
        <f t="shared" si="6"/>
        <v>0.405</v>
      </c>
      <c r="N15" s="5" t="str">
        <f t="shared" si="7"/>
        <v>Under Budget</v>
      </c>
      <c r="O15" s="5" t="str">
        <f t="shared" si="8"/>
        <v>Behind Schedule</v>
      </c>
      <c r="P15" s="5" t="str">
        <f t="shared" si="9"/>
        <v>In Progress</v>
      </c>
      <c r="Q15" s="8">
        <f t="shared" si="10"/>
        <v>0.7647941066</v>
      </c>
    </row>
    <row r="16" ht="22.5" customHeight="1">
      <c r="A16" s="5" t="s">
        <v>38</v>
      </c>
      <c r="B16" s="5" t="s">
        <v>39</v>
      </c>
      <c r="C16" s="6">
        <v>800000.0</v>
      </c>
      <c r="D16" s="7">
        <v>0.6900000000000001</v>
      </c>
      <c r="E16" s="6">
        <v>394088.0</v>
      </c>
      <c r="F16" s="7">
        <v>2.0</v>
      </c>
      <c r="G16" s="7">
        <v>20.0</v>
      </c>
      <c r="H16" s="6">
        <f t="shared" si="1"/>
        <v>80000</v>
      </c>
      <c r="I16" s="6">
        <f t="shared" si="2"/>
        <v>552000</v>
      </c>
      <c r="J16" s="6">
        <f t="shared" si="3"/>
        <v>157912</v>
      </c>
      <c r="K16" s="7">
        <f t="shared" si="4"/>
        <v>1.400702381</v>
      </c>
      <c r="L16" s="6">
        <f t="shared" si="5"/>
        <v>472000</v>
      </c>
      <c r="M16" s="7">
        <f t="shared" si="6"/>
        <v>6.9</v>
      </c>
      <c r="N16" s="5" t="str">
        <f t="shared" si="7"/>
        <v>Under Budget</v>
      </c>
      <c r="O16" s="5" t="str">
        <f t="shared" si="8"/>
        <v>Ahead of Schedule</v>
      </c>
      <c r="P16" s="5" t="str">
        <f t="shared" si="9"/>
        <v>In Progress</v>
      </c>
      <c r="Q16" s="8">
        <f t="shared" si="10"/>
        <v>0.6109698654</v>
      </c>
    </row>
    <row r="17" ht="22.5" customHeight="1">
      <c r="A17" s="5" t="s">
        <v>40</v>
      </c>
      <c r="B17" s="5" t="s">
        <v>39</v>
      </c>
      <c r="C17" s="6">
        <v>180000.0</v>
      </c>
      <c r="D17" s="7">
        <v>0.52</v>
      </c>
      <c r="E17" s="6">
        <v>35748.0</v>
      </c>
      <c r="F17" s="7">
        <v>6.0</v>
      </c>
      <c r="G17" s="7">
        <v>12.0</v>
      </c>
      <c r="H17" s="6">
        <f t="shared" si="1"/>
        <v>90000</v>
      </c>
      <c r="I17" s="6">
        <f t="shared" si="2"/>
        <v>93600</v>
      </c>
      <c r="J17" s="6">
        <f t="shared" si="3"/>
        <v>57852</v>
      </c>
      <c r="K17" s="7">
        <f t="shared" si="4"/>
        <v>2.618328298</v>
      </c>
      <c r="L17" s="6">
        <f t="shared" si="5"/>
        <v>3600</v>
      </c>
      <c r="M17" s="7">
        <f t="shared" si="6"/>
        <v>1.04</v>
      </c>
      <c r="N17" s="5" t="str">
        <f t="shared" si="7"/>
        <v>Under Budget</v>
      </c>
      <c r="O17" s="5" t="str">
        <f t="shared" si="8"/>
        <v>Ahead of Schedule</v>
      </c>
      <c r="P17" s="5" t="str">
        <f t="shared" si="9"/>
        <v>In Progress</v>
      </c>
      <c r="Q17" s="8">
        <f t="shared" si="10"/>
        <v>0.5989518343</v>
      </c>
    </row>
    <row r="18" ht="22.5" customHeight="1">
      <c r="A18" s="5" t="s">
        <v>41</v>
      </c>
      <c r="B18" s="5" t="s">
        <v>33</v>
      </c>
      <c r="C18" s="6">
        <v>350000.0</v>
      </c>
      <c r="D18" s="7">
        <v>0.37</v>
      </c>
      <c r="E18" s="6">
        <v>195574.0</v>
      </c>
      <c r="F18" s="7">
        <v>6.0</v>
      </c>
      <c r="G18" s="7">
        <v>20.0</v>
      </c>
      <c r="H18" s="6">
        <f t="shared" si="1"/>
        <v>105000</v>
      </c>
      <c r="I18" s="6">
        <f t="shared" si="2"/>
        <v>129500</v>
      </c>
      <c r="J18" s="6">
        <f t="shared" si="3"/>
        <v>-66074</v>
      </c>
      <c r="K18" s="7">
        <f t="shared" si="4"/>
        <v>0.662153456</v>
      </c>
      <c r="L18" s="6">
        <f t="shared" si="5"/>
        <v>24500</v>
      </c>
      <c r="M18" s="7">
        <f t="shared" si="6"/>
        <v>1.233333333</v>
      </c>
      <c r="N18" s="5" t="str">
        <f t="shared" si="7"/>
        <v>Over Budget</v>
      </c>
      <c r="O18" s="5" t="str">
        <f t="shared" si="8"/>
        <v>Ahead of Schedule</v>
      </c>
      <c r="P18" s="5" t="str">
        <f t="shared" si="9"/>
        <v>In Progress</v>
      </c>
      <c r="Q18" s="8">
        <f t="shared" si="10"/>
        <v>1.427868364</v>
      </c>
    </row>
    <row r="19" ht="22.5" customHeight="1">
      <c r="A19" s="5" t="s">
        <v>42</v>
      </c>
      <c r="B19" s="5" t="s">
        <v>18</v>
      </c>
      <c r="C19" s="6">
        <v>110000.0</v>
      </c>
      <c r="D19" s="7">
        <v>0.17</v>
      </c>
      <c r="E19" s="6">
        <v>93391.0</v>
      </c>
      <c r="F19" s="7">
        <v>11.0</v>
      </c>
      <c r="G19" s="7">
        <v>12.0</v>
      </c>
      <c r="H19" s="6">
        <f t="shared" si="1"/>
        <v>100833.3333</v>
      </c>
      <c r="I19" s="6">
        <f t="shared" si="2"/>
        <v>18700</v>
      </c>
      <c r="J19" s="6">
        <f t="shared" si="3"/>
        <v>-74691</v>
      </c>
      <c r="K19" s="7">
        <f t="shared" si="4"/>
        <v>0.2002334272</v>
      </c>
      <c r="L19" s="6">
        <f t="shared" si="5"/>
        <v>-82133.33333</v>
      </c>
      <c r="M19" s="7">
        <f t="shared" si="6"/>
        <v>0.1854545455</v>
      </c>
      <c r="N19" s="5" t="str">
        <f t="shared" si="7"/>
        <v>Over Budget</v>
      </c>
      <c r="O19" s="5" t="str">
        <f t="shared" si="8"/>
        <v>Behind Schedule</v>
      </c>
      <c r="P19" s="5" t="str">
        <f t="shared" si="9"/>
        <v>In Progress</v>
      </c>
      <c r="Q19" s="8">
        <f t="shared" si="10"/>
        <v>5.497019688</v>
      </c>
    </row>
    <row r="20" ht="22.5" customHeight="1">
      <c r="A20" s="5" t="s">
        <v>43</v>
      </c>
      <c r="B20" s="5" t="s">
        <v>24</v>
      </c>
      <c r="C20" s="6">
        <v>1000000.0</v>
      </c>
      <c r="D20" s="7">
        <v>0.27</v>
      </c>
      <c r="E20" s="6">
        <v>740328.0</v>
      </c>
      <c r="F20" s="7">
        <v>19.0</v>
      </c>
      <c r="G20" s="7">
        <v>20.0</v>
      </c>
      <c r="H20" s="6">
        <f t="shared" si="1"/>
        <v>950000</v>
      </c>
      <c r="I20" s="6">
        <f t="shared" si="2"/>
        <v>270000</v>
      </c>
      <c r="J20" s="6">
        <f t="shared" si="3"/>
        <v>-470328</v>
      </c>
      <c r="K20" s="7">
        <f t="shared" si="4"/>
        <v>0.3647032126</v>
      </c>
      <c r="L20" s="6">
        <f t="shared" si="5"/>
        <v>-680000</v>
      </c>
      <c r="M20" s="7">
        <f t="shared" si="6"/>
        <v>0.2842105263</v>
      </c>
      <c r="N20" s="5" t="str">
        <f t="shared" si="7"/>
        <v>Over Budget</v>
      </c>
      <c r="O20" s="5" t="str">
        <f t="shared" si="8"/>
        <v>Behind Schedule</v>
      </c>
      <c r="P20" s="5" t="str">
        <f t="shared" si="9"/>
        <v>In Progress</v>
      </c>
      <c r="Q20" s="8">
        <f t="shared" si="10"/>
        <v>2.811238794</v>
      </c>
    </row>
    <row r="21" ht="15.75" customHeight="1">
      <c r="A21" s="5" t="s">
        <v>44</v>
      </c>
      <c r="B21" s="5" t="s">
        <v>33</v>
      </c>
      <c r="C21" s="6">
        <v>60000.0</v>
      </c>
      <c r="D21" s="7">
        <v>0.34</v>
      </c>
      <c r="E21" s="6">
        <v>20780.0</v>
      </c>
      <c r="F21" s="7">
        <v>5.0</v>
      </c>
      <c r="G21" s="7">
        <v>6.0</v>
      </c>
      <c r="H21" s="6">
        <f t="shared" si="1"/>
        <v>50000</v>
      </c>
      <c r="I21" s="6">
        <f t="shared" si="2"/>
        <v>20400</v>
      </c>
      <c r="J21" s="6">
        <f t="shared" si="3"/>
        <v>-380</v>
      </c>
      <c r="K21" s="7">
        <f t="shared" si="4"/>
        <v>0.9817131858</v>
      </c>
      <c r="L21" s="6">
        <f t="shared" si="5"/>
        <v>-29600</v>
      </c>
      <c r="M21" s="7">
        <f t="shared" si="6"/>
        <v>0.408</v>
      </c>
      <c r="N21" s="5" t="str">
        <f t="shared" si="7"/>
        <v>Over Budget</v>
      </c>
      <c r="O21" s="5" t="str">
        <f t="shared" si="8"/>
        <v>Behind Schedule</v>
      </c>
      <c r="P21" s="5" t="str">
        <f t="shared" si="9"/>
        <v>In Progress</v>
      </c>
      <c r="Q21" s="8">
        <f t="shared" si="10"/>
        <v>1.009688934</v>
      </c>
    </row>
    <row r="22" ht="15.75" customHeight="1">
      <c r="A22" s="5" t="s">
        <v>45</v>
      </c>
      <c r="B22" s="5" t="s">
        <v>39</v>
      </c>
      <c r="C22" s="6">
        <v>120000.0</v>
      </c>
      <c r="D22" s="7">
        <v>0.79</v>
      </c>
      <c r="E22" s="6">
        <v>5228.0</v>
      </c>
      <c r="F22" s="7">
        <v>18.0</v>
      </c>
      <c r="G22" s="7">
        <v>18.0</v>
      </c>
      <c r="H22" s="6">
        <f t="shared" si="1"/>
        <v>120000</v>
      </c>
      <c r="I22" s="6">
        <f t="shared" si="2"/>
        <v>94800</v>
      </c>
      <c r="J22" s="6">
        <f t="shared" si="3"/>
        <v>89572</v>
      </c>
      <c r="K22" s="7">
        <f t="shared" si="4"/>
        <v>18.1331293</v>
      </c>
      <c r="L22" s="6">
        <f t="shared" si="5"/>
        <v>-25200</v>
      </c>
      <c r="M22" s="7">
        <f t="shared" si="6"/>
        <v>0.79</v>
      </c>
      <c r="N22" s="5" t="str">
        <f t="shared" si="7"/>
        <v>Under Budget</v>
      </c>
      <c r="O22" s="5" t="str">
        <f t="shared" si="8"/>
        <v>Behind Schedule</v>
      </c>
      <c r="P22" s="5" t="str">
        <f t="shared" si="9"/>
        <v>In Progress</v>
      </c>
      <c r="Q22" s="8">
        <f t="shared" si="10"/>
        <v>0.2195657477</v>
      </c>
    </row>
    <row r="23" ht="15.75" customHeight="1">
      <c r="A23" s="5" t="s">
        <v>46</v>
      </c>
      <c r="B23" s="5" t="s">
        <v>24</v>
      </c>
      <c r="C23" s="6">
        <v>250000.0</v>
      </c>
      <c r="D23" s="7">
        <v>0.07</v>
      </c>
      <c r="E23" s="6">
        <v>169471.0</v>
      </c>
      <c r="F23" s="7">
        <v>18.0</v>
      </c>
      <c r="G23" s="7">
        <v>20.0</v>
      </c>
      <c r="H23" s="6">
        <f t="shared" si="1"/>
        <v>225000</v>
      </c>
      <c r="I23" s="6">
        <f t="shared" si="2"/>
        <v>17500</v>
      </c>
      <c r="J23" s="6">
        <f t="shared" si="3"/>
        <v>-151971</v>
      </c>
      <c r="K23" s="7">
        <f t="shared" si="4"/>
        <v>0.1032625051</v>
      </c>
      <c r="L23" s="6">
        <f t="shared" si="5"/>
        <v>-207500</v>
      </c>
      <c r="M23" s="7">
        <f t="shared" si="6"/>
        <v>0.07777777778</v>
      </c>
      <c r="N23" s="5" t="str">
        <f t="shared" si="7"/>
        <v>Over Budget</v>
      </c>
      <c r="O23" s="5" t="str">
        <f t="shared" si="8"/>
        <v>Behind Schedule</v>
      </c>
      <c r="P23" s="5" t="str">
        <f t="shared" si="9"/>
        <v>In Progress</v>
      </c>
      <c r="Q23" s="8">
        <f t="shared" si="10"/>
        <v>2.887158663</v>
      </c>
    </row>
    <row r="24" ht="15.75" customHeight="1">
      <c r="A24" s="5" t="s">
        <v>47</v>
      </c>
      <c r="B24" s="5" t="s">
        <v>26</v>
      </c>
      <c r="C24" s="6">
        <v>80000.0</v>
      </c>
      <c r="D24" s="7">
        <v>0.05</v>
      </c>
      <c r="E24" s="6">
        <v>18720.0</v>
      </c>
      <c r="F24" s="7">
        <v>6.0</v>
      </c>
      <c r="G24" s="7">
        <v>14.0</v>
      </c>
      <c r="H24" s="6">
        <f t="shared" si="1"/>
        <v>34285.71429</v>
      </c>
      <c r="I24" s="6">
        <f t="shared" si="2"/>
        <v>4000</v>
      </c>
      <c r="J24" s="6">
        <f t="shared" si="3"/>
        <v>-14720</v>
      </c>
      <c r="K24" s="7">
        <f t="shared" si="4"/>
        <v>0.2136752137</v>
      </c>
      <c r="L24" s="6">
        <f t="shared" si="5"/>
        <v>-30285.71429</v>
      </c>
      <c r="M24" s="7">
        <f t="shared" si="6"/>
        <v>0.1166666667</v>
      </c>
      <c r="N24" s="5" t="str">
        <f t="shared" si="7"/>
        <v>Over Budget</v>
      </c>
      <c r="O24" s="5" t="str">
        <f t="shared" si="8"/>
        <v>Behind Schedule</v>
      </c>
      <c r="P24" s="5" t="str">
        <f t="shared" si="9"/>
        <v>In Progress</v>
      </c>
      <c r="Q24" s="8">
        <f t="shared" si="10"/>
        <v>1.240208877</v>
      </c>
    </row>
    <row r="25" ht="15.75" customHeight="1">
      <c r="A25" s="5" t="s">
        <v>48</v>
      </c>
      <c r="B25" s="5" t="s">
        <v>31</v>
      </c>
      <c r="C25" s="6">
        <v>300000.0</v>
      </c>
      <c r="D25" s="7">
        <v>0.26</v>
      </c>
      <c r="E25" s="6">
        <v>74449.0</v>
      </c>
      <c r="F25" s="7">
        <v>4.0</v>
      </c>
      <c r="G25" s="7">
        <v>20.0</v>
      </c>
      <c r="H25" s="6">
        <f t="shared" si="1"/>
        <v>60000</v>
      </c>
      <c r="I25" s="6">
        <f t="shared" si="2"/>
        <v>78000</v>
      </c>
      <c r="J25" s="6">
        <f t="shared" si="3"/>
        <v>3551</v>
      </c>
      <c r="K25" s="7">
        <f t="shared" si="4"/>
        <v>1.047697081</v>
      </c>
      <c r="L25" s="6">
        <f t="shared" si="5"/>
        <v>18000</v>
      </c>
      <c r="M25" s="7">
        <f t="shared" si="6"/>
        <v>1.3</v>
      </c>
      <c r="N25" s="5" t="str">
        <f t="shared" si="7"/>
        <v>Under Budget</v>
      </c>
      <c r="O25" s="5" t="str">
        <f t="shared" si="8"/>
        <v>Ahead of Schedule</v>
      </c>
      <c r="P25" s="5" t="str">
        <f t="shared" si="9"/>
        <v>In Progress</v>
      </c>
      <c r="Q25" s="8">
        <f t="shared" si="10"/>
        <v>0.9842563323</v>
      </c>
    </row>
    <row r="26" ht="15.75" customHeight="1">
      <c r="A26" s="5" t="s">
        <v>49</v>
      </c>
      <c r="B26" s="5" t="s">
        <v>22</v>
      </c>
      <c r="C26" s="6">
        <v>150000.0</v>
      </c>
      <c r="D26" s="7">
        <v>0.46</v>
      </c>
      <c r="E26" s="6">
        <v>25493.0</v>
      </c>
      <c r="F26" s="7">
        <v>12.0</v>
      </c>
      <c r="G26" s="7">
        <v>12.0</v>
      </c>
      <c r="H26" s="6">
        <f t="shared" si="1"/>
        <v>150000</v>
      </c>
      <c r="I26" s="6">
        <f t="shared" si="2"/>
        <v>69000</v>
      </c>
      <c r="J26" s="6">
        <f t="shared" si="3"/>
        <v>43507</v>
      </c>
      <c r="K26" s="7">
        <f t="shared" si="4"/>
        <v>2.706625348</v>
      </c>
      <c r="L26" s="6">
        <f t="shared" si="5"/>
        <v>-81000</v>
      </c>
      <c r="M26" s="7">
        <f t="shared" si="6"/>
        <v>0.46</v>
      </c>
      <c r="N26" s="5" t="str">
        <f t="shared" si="7"/>
        <v>Under Budget</v>
      </c>
      <c r="O26" s="5" t="str">
        <f t="shared" si="8"/>
        <v>Behind Schedule</v>
      </c>
      <c r="P26" s="5" t="str">
        <f t="shared" si="9"/>
        <v>In Progress</v>
      </c>
      <c r="Q26" s="8">
        <f t="shared" si="10"/>
        <v>0.6505658316</v>
      </c>
    </row>
    <row r="27" ht="15.75" customHeight="1">
      <c r="A27" s="5" t="s">
        <v>50</v>
      </c>
      <c r="B27" s="5" t="s">
        <v>51</v>
      </c>
      <c r="C27" s="6">
        <v>500000.0</v>
      </c>
      <c r="D27" s="7">
        <v>0.18</v>
      </c>
      <c r="E27" s="6">
        <v>360640.0</v>
      </c>
      <c r="F27" s="7">
        <v>15.0</v>
      </c>
      <c r="G27" s="7">
        <v>20.0</v>
      </c>
      <c r="H27" s="6">
        <f t="shared" si="1"/>
        <v>375000</v>
      </c>
      <c r="I27" s="6">
        <f t="shared" si="2"/>
        <v>90000</v>
      </c>
      <c r="J27" s="6">
        <f t="shared" si="3"/>
        <v>-270640</v>
      </c>
      <c r="K27" s="7">
        <f t="shared" si="4"/>
        <v>0.2495563443</v>
      </c>
      <c r="L27" s="6">
        <f t="shared" si="5"/>
        <v>-285000</v>
      </c>
      <c r="M27" s="7">
        <f t="shared" si="6"/>
        <v>0.24</v>
      </c>
      <c r="N27" s="5" t="str">
        <f t="shared" si="7"/>
        <v>Over Budget</v>
      </c>
      <c r="O27" s="5" t="str">
        <f t="shared" si="8"/>
        <v>Behind Schedule</v>
      </c>
      <c r="P27" s="5" t="str">
        <f t="shared" si="9"/>
        <v>In Progress</v>
      </c>
      <c r="Q27" s="8">
        <f t="shared" si="10"/>
        <v>2.942020666</v>
      </c>
    </row>
    <row r="28" ht="15.75" customHeight="1">
      <c r="A28" s="5" t="s">
        <v>52</v>
      </c>
      <c r="B28" s="5" t="s">
        <v>22</v>
      </c>
      <c r="C28" s="6">
        <v>90000.0</v>
      </c>
      <c r="D28" s="7">
        <v>0.72</v>
      </c>
      <c r="E28" s="6">
        <v>24797.0</v>
      </c>
      <c r="F28" s="7">
        <v>3.0</v>
      </c>
      <c r="G28" s="7">
        <v>14.0</v>
      </c>
      <c r="H28" s="6">
        <f t="shared" si="1"/>
        <v>19285.71429</v>
      </c>
      <c r="I28" s="6">
        <f t="shared" si="2"/>
        <v>64800</v>
      </c>
      <c r="J28" s="6">
        <f t="shared" si="3"/>
        <v>40003</v>
      </c>
      <c r="K28" s="7">
        <f t="shared" si="4"/>
        <v>2.613219341</v>
      </c>
      <c r="L28" s="6">
        <f t="shared" si="5"/>
        <v>45514.28571</v>
      </c>
      <c r="M28" s="7">
        <f t="shared" si="6"/>
        <v>3.36</v>
      </c>
      <c r="N28" s="5" t="str">
        <f t="shared" si="7"/>
        <v>Under Budget</v>
      </c>
      <c r="O28" s="5" t="str">
        <f t="shared" si="8"/>
        <v>Ahead of Schedule</v>
      </c>
      <c r="P28" s="5" t="str">
        <f t="shared" si="9"/>
        <v>In Progress</v>
      </c>
      <c r="Q28" s="8">
        <f t="shared" si="10"/>
        <v>0.3864852844</v>
      </c>
    </row>
    <row r="29" ht="15.75" customHeight="1">
      <c r="A29" s="5" t="s">
        <v>53</v>
      </c>
      <c r="B29" s="5" t="s">
        <v>31</v>
      </c>
      <c r="C29" s="6">
        <v>220000.0</v>
      </c>
      <c r="D29" s="7">
        <v>0.17</v>
      </c>
      <c r="E29" s="6">
        <v>138343.0</v>
      </c>
      <c r="F29" s="7">
        <v>7.0</v>
      </c>
      <c r="G29" s="7">
        <v>15.0</v>
      </c>
      <c r="H29" s="6">
        <f t="shared" si="1"/>
        <v>102666.6667</v>
      </c>
      <c r="I29" s="6">
        <f t="shared" si="2"/>
        <v>37400</v>
      </c>
      <c r="J29" s="6">
        <f t="shared" si="3"/>
        <v>-100943</v>
      </c>
      <c r="K29" s="7">
        <f t="shared" si="4"/>
        <v>0.2703425544</v>
      </c>
      <c r="L29" s="6">
        <f t="shared" si="5"/>
        <v>-65266.66667</v>
      </c>
      <c r="M29" s="7">
        <f t="shared" si="6"/>
        <v>0.3642857143</v>
      </c>
      <c r="N29" s="5" t="str">
        <f t="shared" si="7"/>
        <v>Over Budget</v>
      </c>
      <c r="O29" s="5" t="str">
        <f t="shared" si="8"/>
        <v>Behind Schedule</v>
      </c>
      <c r="P29" s="5" t="str">
        <f t="shared" si="9"/>
        <v>In Progress</v>
      </c>
      <c r="Q29" s="8">
        <f t="shared" si="10"/>
        <v>2.236183058</v>
      </c>
    </row>
    <row r="30" ht="15.75" customHeight="1">
      <c r="A30" s="5" t="s">
        <v>54</v>
      </c>
      <c r="B30" s="5" t="s">
        <v>26</v>
      </c>
      <c r="C30" s="6">
        <v>400000.0</v>
      </c>
      <c r="D30" s="7">
        <v>0.5700000000000001</v>
      </c>
      <c r="E30" s="6">
        <v>25815.0</v>
      </c>
      <c r="F30" s="7">
        <v>9.0</v>
      </c>
      <c r="G30" s="7">
        <v>20.0</v>
      </c>
      <c r="H30" s="6">
        <f t="shared" si="1"/>
        <v>180000</v>
      </c>
      <c r="I30" s="6">
        <f t="shared" si="2"/>
        <v>228000</v>
      </c>
      <c r="J30" s="6">
        <f t="shared" si="3"/>
        <v>202185</v>
      </c>
      <c r="K30" s="7">
        <f t="shared" si="4"/>
        <v>8.832074375</v>
      </c>
      <c r="L30" s="6">
        <f t="shared" si="5"/>
        <v>48000</v>
      </c>
      <c r="M30" s="7">
        <f t="shared" si="6"/>
        <v>1.266666667</v>
      </c>
      <c r="N30" s="5" t="str">
        <f t="shared" si="7"/>
        <v>Under Budget</v>
      </c>
      <c r="O30" s="5" t="str">
        <f t="shared" si="8"/>
        <v>Ahead of Schedule</v>
      </c>
      <c r="P30" s="5" t="str">
        <f t="shared" si="9"/>
        <v>In Progress</v>
      </c>
      <c r="Q30" s="8">
        <f t="shared" si="10"/>
        <v>0.4596656734</v>
      </c>
    </row>
    <row r="31" ht="15.75" customHeight="1">
      <c r="A31" s="5" t="s">
        <v>55</v>
      </c>
      <c r="B31" s="5" t="s">
        <v>26</v>
      </c>
      <c r="C31" s="6">
        <v>75000.0</v>
      </c>
      <c r="D31" s="7">
        <v>0.59</v>
      </c>
      <c r="E31" s="6">
        <v>43768.0</v>
      </c>
      <c r="F31" s="7">
        <v>3.0</v>
      </c>
      <c r="G31" s="7">
        <v>12.0</v>
      </c>
      <c r="H31" s="6">
        <f t="shared" si="1"/>
        <v>18750</v>
      </c>
      <c r="I31" s="6">
        <f t="shared" si="2"/>
        <v>44250</v>
      </c>
      <c r="J31" s="6">
        <f t="shared" si="3"/>
        <v>482</v>
      </c>
      <c r="K31" s="7">
        <f t="shared" si="4"/>
        <v>1.011012612</v>
      </c>
      <c r="L31" s="6">
        <f t="shared" si="5"/>
        <v>25500</v>
      </c>
      <c r="M31" s="7">
        <f t="shared" si="6"/>
        <v>2.36</v>
      </c>
      <c r="N31" s="5" t="str">
        <f t="shared" si="7"/>
        <v>Under Budget</v>
      </c>
      <c r="O31" s="5" t="str">
        <f t="shared" si="8"/>
        <v>Ahead of Schedule</v>
      </c>
      <c r="P31" s="5" t="str">
        <f t="shared" si="9"/>
        <v>In Progress</v>
      </c>
      <c r="Q31" s="8">
        <f t="shared" si="10"/>
        <v>0.9845671107</v>
      </c>
    </row>
    <row r="32" ht="15.75" customHeight="1">
      <c r="A32" s="5" t="s">
        <v>56</v>
      </c>
      <c r="B32" s="5" t="s">
        <v>22</v>
      </c>
      <c r="C32" s="6">
        <v>600000.0</v>
      </c>
      <c r="D32" s="7">
        <v>0.47000000000000003</v>
      </c>
      <c r="E32" s="6">
        <v>581579.0</v>
      </c>
      <c r="F32" s="7">
        <v>6.0</v>
      </c>
      <c r="G32" s="7">
        <v>20.0</v>
      </c>
      <c r="H32" s="6">
        <f t="shared" si="1"/>
        <v>180000</v>
      </c>
      <c r="I32" s="6">
        <f t="shared" si="2"/>
        <v>282000</v>
      </c>
      <c r="J32" s="6">
        <f t="shared" si="3"/>
        <v>-299579</v>
      </c>
      <c r="K32" s="7">
        <f t="shared" si="4"/>
        <v>0.4848868339</v>
      </c>
      <c r="L32" s="6">
        <f t="shared" si="5"/>
        <v>102000</v>
      </c>
      <c r="M32" s="7">
        <f t="shared" si="6"/>
        <v>1.566666667</v>
      </c>
      <c r="N32" s="5" t="str">
        <f t="shared" si="7"/>
        <v>Over Budget</v>
      </c>
      <c r="O32" s="5" t="str">
        <f t="shared" si="8"/>
        <v>Ahead of Schedule</v>
      </c>
      <c r="P32" s="5" t="str">
        <f t="shared" si="9"/>
        <v>In Progress</v>
      </c>
      <c r="Q32" s="8">
        <f t="shared" si="10"/>
        <v>17.26290647</v>
      </c>
    </row>
    <row r="33" ht="15.75" customHeight="1">
      <c r="A33" s="5" t="s">
        <v>57</v>
      </c>
      <c r="B33" s="5" t="s">
        <v>58</v>
      </c>
      <c r="C33" s="6">
        <v>130000.0</v>
      </c>
      <c r="D33" s="7">
        <v>0.26</v>
      </c>
      <c r="E33" s="6">
        <v>34889.0</v>
      </c>
      <c r="F33" s="7">
        <v>3.0</v>
      </c>
      <c r="G33" s="7">
        <v>12.0</v>
      </c>
      <c r="H33" s="6">
        <f t="shared" si="1"/>
        <v>32500</v>
      </c>
      <c r="I33" s="6">
        <f t="shared" si="2"/>
        <v>33800</v>
      </c>
      <c r="J33" s="6">
        <f t="shared" si="3"/>
        <v>-1089</v>
      </c>
      <c r="K33" s="7">
        <f t="shared" si="4"/>
        <v>0.9687867236</v>
      </c>
      <c r="L33" s="6">
        <f t="shared" si="5"/>
        <v>1300</v>
      </c>
      <c r="M33" s="7">
        <f t="shared" si="6"/>
        <v>1.04</v>
      </c>
      <c r="N33" s="5" t="str">
        <f t="shared" si="7"/>
        <v>Over Budget</v>
      </c>
      <c r="O33" s="5" t="str">
        <f t="shared" si="8"/>
        <v>Ahead of Schedule</v>
      </c>
      <c r="P33" s="5" t="str">
        <f t="shared" si="9"/>
        <v>In Progress</v>
      </c>
      <c r="Q33" s="8">
        <f t="shared" si="10"/>
        <v>1.01144978</v>
      </c>
    </row>
    <row r="34" ht="15.75" customHeight="1">
      <c r="A34" s="5" t="s">
        <v>59</v>
      </c>
      <c r="B34" s="5" t="s">
        <v>39</v>
      </c>
      <c r="C34" s="6">
        <v>270000.0</v>
      </c>
      <c r="D34" s="7">
        <v>0.7000000000000001</v>
      </c>
      <c r="E34" s="6">
        <v>251600.0</v>
      </c>
      <c r="F34" s="7">
        <v>9.0</v>
      </c>
      <c r="G34" s="7">
        <v>20.0</v>
      </c>
      <c r="H34" s="6">
        <f t="shared" si="1"/>
        <v>121500</v>
      </c>
      <c r="I34" s="6">
        <f t="shared" si="2"/>
        <v>189000</v>
      </c>
      <c r="J34" s="6">
        <f t="shared" si="3"/>
        <v>-62600</v>
      </c>
      <c r="K34" s="7">
        <f t="shared" si="4"/>
        <v>0.7511923688</v>
      </c>
      <c r="L34" s="6">
        <f t="shared" si="5"/>
        <v>67500</v>
      </c>
      <c r="M34" s="7">
        <f t="shared" si="6"/>
        <v>1.555555556</v>
      </c>
      <c r="N34" s="5" t="str">
        <f t="shared" si="7"/>
        <v>Over Budget</v>
      </c>
      <c r="O34" s="5" t="str">
        <f t="shared" si="8"/>
        <v>Ahead of Schedule</v>
      </c>
      <c r="P34" s="5" t="str">
        <f t="shared" si="9"/>
        <v>In Progress</v>
      </c>
      <c r="Q34" s="8">
        <f t="shared" si="10"/>
        <v>4.402173913</v>
      </c>
    </row>
    <row r="35" ht="15.75" customHeight="1">
      <c r="A35" s="5" t="s">
        <v>60</v>
      </c>
      <c r="B35" s="5" t="s">
        <v>51</v>
      </c>
      <c r="C35" s="6">
        <v>95000.0</v>
      </c>
      <c r="D35" s="7">
        <v>0.37</v>
      </c>
      <c r="E35" s="6">
        <v>19523.0</v>
      </c>
      <c r="F35" s="7">
        <v>5.0</v>
      </c>
      <c r="G35" s="7">
        <v>12.0</v>
      </c>
      <c r="H35" s="6">
        <f t="shared" si="1"/>
        <v>39583.33333</v>
      </c>
      <c r="I35" s="6">
        <f t="shared" si="2"/>
        <v>35150</v>
      </c>
      <c r="J35" s="6">
        <f t="shared" si="3"/>
        <v>15627</v>
      </c>
      <c r="K35" s="7">
        <f t="shared" si="4"/>
        <v>1.800440506</v>
      </c>
      <c r="L35" s="6">
        <f t="shared" si="5"/>
        <v>-4433.333333</v>
      </c>
      <c r="M35" s="7">
        <f t="shared" si="6"/>
        <v>0.888</v>
      </c>
      <c r="N35" s="5" t="str">
        <f t="shared" si="7"/>
        <v>Under Budget</v>
      </c>
      <c r="O35" s="5" t="str">
        <f t="shared" si="8"/>
        <v>Behind Schedule</v>
      </c>
      <c r="P35" s="5" t="str">
        <f t="shared" si="9"/>
        <v>In Progress</v>
      </c>
      <c r="Q35" s="8">
        <f t="shared" si="10"/>
        <v>0.7929567948</v>
      </c>
    </row>
    <row r="36" ht="15.75" customHeight="1">
      <c r="A36" s="5" t="s">
        <v>61</v>
      </c>
      <c r="B36" s="5" t="s">
        <v>58</v>
      </c>
      <c r="C36" s="6">
        <v>800000.0</v>
      </c>
      <c r="D36" s="7">
        <v>0.34</v>
      </c>
      <c r="E36" s="6">
        <v>558627.0</v>
      </c>
      <c r="F36" s="7">
        <v>6.0</v>
      </c>
      <c r="G36" s="7">
        <v>20.0</v>
      </c>
      <c r="H36" s="6">
        <f t="shared" si="1"/>
        <v>240000</v>
      </c>
      <c r="I36" s="6">
        <f t="shared" si="2"/>
        <v>272000</v>
      </c>
      <c r="J36" s="6">
        <f t="shared" si="3"/>
        <v>-286627</v>
      </c>
      <c r="K36" s="7">
        <f t="shared" si="4"/>
        <v>0.48690808</v>
      </c>
      <c r="L36" s="6">
        <f t="shared" si="5"/>
        <v>32000</v>
      </c>
      <c r="M36" s="7">
        <f t="shared" si="6"/>
        <v>1.133333333</v>
      </c>
      <c r="N36" s="5" t="str">
        <f t="shared" si="7"/>
        <v>Over Budget</v>
      </c>
      <c r="O36" s="5" t="str">
        <f t="shared" si="8"/>
        <v>Ahead of Schedule</v>
      </c>
      <c r="P36" s="5" t="str">
        <f t="shared" si="9"/>
        <v>In Progress</v>
      </c>
      <c r="Q36" s="8">
        <f t="shared" si="10"/>
        <v>2.187485759</v>
      </c>
    </row>
    <row r="37" ht="15.75" customHeight="1">
      <c r="A37" s="5" t="s">
        <v>62</v>
      </c>
      <c r="B37" s="5" t="s">
        <v>58</v>
      </c>
      <c r="C37" s="6">
        <v>180000.0</v>
      </c>
      <c r="D37" s="7">
        <v>0.21</v>
      </c>
      <c r="E37" s="6">
        <v>131722.0</v>
      </c>
      <c r="F37" s="7">
        <v>11.0</v>
      </c>
      <c r="G37" s="7">
        <v>12.0</v>
      </c>
      <c r="H37" s="6">
        <f t="shared" si="1"/>
        <v>165000</v>
      </c>
      <c r="I37" s="6">
        <f t="shared" si="2"/>
        <v>37800</v>
      </c>
      <c r="J37" s="6">
        <f t="shared" si="3"/>
        <v>-93922</v>
      </c>
      <c r="K37" s="7">
        <f t="shared" si="4"/>
        <v>0.2869680084</v>
      </c>
      <c r="L37" s="6">
        <f t="shared" si="5"/>
        <v>-127200</v>
      </c>
      <c r="M37" s="7">
        <f t="shared" si="6"/>
        <v>0.2290909091</v>
      </c>
      <c r="N37" s="5" t="str">
        <f t="shared" si="7"/>
        <v>Over Budget</v>
      </c>
      <c r="O37" s="5" t="str">
        <f t="shared" si="8"/>
        <v>Behind Schedule</v>
      </c>
      <c r="P37" s="5" t="str">
        <f t="shared" si="9"/>
        <v>In Progress</v>
      </c>
      <c r="Q37" s="8">
        <f t="shared" si="10"/>
        <v>2.945440988</v>
      </c>
    </row>
    <row r="38" ht="15.75" customHeight="1">
      <c r="A38" s="5" t="s">
        <v>63</v>
      </c>
      <c r="B38" s="5" t="s">
        <v>33</v>
      </c>
      <c r="C38" s="6">
        <v>350000.0</v>
      </c>
      <c r="D38" s="7">
        <v>0.52</v>
      </c>
      <c r="E38" s="6">
        <v>112751.0</v>
      </c>
      <c r="F38" s="7">
        <v>2.0</v>
      </c>
      <c r="G38" s="7">
        <v>20.0</v>
      </c>
      <c r="H38" s="6">
        <f t="shared" si="1"/>
        <v>35000</v>
      </c>
      <c r="I38" s="6">
        <f t="shared" si="2"/>
        <v>182000</v>
      </c>
      <c r="J38" s="6">
        <f t="shared" si="3"/>
        <v>69249</v>
      </c>
      <c r="K38" s="7">
        <f t="shared" si="4"/>
        <v>1.614176371</v>
      </c>
      <c r="L38" s="6">
        <f t="shared" si="5"/>
        <v>147000</v>
      </c>
      <c r="M38" s="7">
        <f t="shared" si="6"/>
        <v>5.2</v>
      </c>
      <c r="N38" s="5" t="str">
        <f t="shared" si="7"/>
        <v>Under Budget</v>
      </c>
      <c r="O38" s="5" t="str">
        <f t="shared" si="8"/>
        <v>Ahead of Schedule</v>
      </c>
      <c r="P38" s="5" t="str">
        <f t="shared" si="9"/>
        <v>In Progress</v>
      </c>
      <c r="Q38" s="8">
        <f t="shared" si="10"/>
        <v>0.7081167887</v>
      </c>
    </row>
    <row r="39" ht="15.75" customHeight="1">
      <c r="A39" s="5" t="s">
        <v>64</v>
      </c>
      <c r="B39" s="5" t="s">
        <v>22</v>
      </c>
      <c r="C39" s="6">
        <v>110000.0</v>
      </c>
      <c r="D39" s="7">
        <v>0.51</v>
      </c>
      <c r="E39" s="6">
        <v>77587.0</v>
      </c>
      <c r="F39" s="7">
        <v>9.0</v>
      </c>
      <c r="G39" s="7">
        <v>12.0</v>
      </c>
      <c r="H39" s="6">
        <f t="shared" si="1"/>
        <v>82500</v>
      </c>
      <c r="I39" s="6">
        <f t="shared" si="2"/>
        <v>56100</v>
      </c>
      <c r="J39" s="6">
        <f t="shared" si="3"/>
        <v>-21487</v>
      </c>
      <c r="K39" s="7">
        <f t="shared" si="4"/>
        <v>0.7230592754</v>
      </c>
      <c r="L39" s="6">
        <f t="shared" si="5"/>
        <v>-26400</v>
      </c>
      <c r="M39" s="7">
        <f t="shared" si="6"/>
        <v>0.68</v>
      </c>
      <c r="N39" s="5" t="str">
        <f t="shared" si="7"/>
        <v>Over Budget</v>
      </c>
      <c r="O39" s="5" t="str">
        <f t="shared" si="8"/>
        <v>Behind Schedule</v>
      </c>
      <c r="P39" s="5" t="str">
        <f t="shared" si="9"/>
        <v>In Progress</v>
      </c>
      <c r="Q39" s="8">
        <f t="shared" si="10"/>
        <v>1.662913029</v>
      </c>
    </row>
    <row r="40" ht="15.75" customHeight="1">
      <c r="A40" s="5" t="s">
        <v>65</v>
      </c>
      <c r="B40" s="5" t="s">
        <v>20</v>
      </c>
      <c r="C40" s="6">
        <v>1000000.0</v>
      </c>
      <c r="D40" s="7">
        <v>0.34</v>
      </c>
      <c r="E40" s="6">
        <v>478958.0</v>
      </c>
      <c r="F40" s="7">
        <v>19.0</v>
      </c>
      <c r="G40" s="7">
        <v>20.0</v>
      </c>
      <c r="H40" s="6">
        <f t="shared" si="1"/>
        <v>950000</v>
      </c>
      <c r="I40" s="6">
        <f t="shared" si="2"/>
        <v>340000</v>
      </c>
      <c r="J40" s="6">
        <f t="shared" si="3"/>
        <v>-138958</v>
      </c>
      <c r="K40" s="7">
        <f t="shared" si="4"/>
        <v>0.7098743522</v>
      </c>
      <c r="L40" s="6">
        <f t="shared" si="5"/>
        <v>-610000</v>
      </c>
      <c r="M40" s="7">
        <f t="shared" si="6"/>
        <v>0.3578947368</v>
      </c>
      <c r="N40" s="5" t="str">
        <f t="shared" si="7"/>
        <v>Over Budget</v>
      </c>
      <c r="O40" s="5" t="str">
        <f t="shared" si="8"/>
        <v>Behind Schedule</v>
      </c>
      <c r="P40" s="5" t="str">
        <f t="shared" si="9"/>
        <v>In Progress</v>
      </c>
      <c r="Q40" s="8">
        <f t="shared" si="10"/>
        <v>1.266692512</v>
      </c>
    </row>
    <row r="41" ht="15.75" customHeight="1">
      <c r="A41" s="5" t="s">
        <v>66</v>
      </c>
      <c r="B41" s="5" t="s">
        <v>31</v>
      </c>
      <c r="C41" s="6">
        <v>60000.0</v>
      </c>
      <c r="D41" s="7">
        <v>0.59</v>
      </c>
      <c r="E41" s="6">
        <v>36600.0</v>
      </c>
      <c r="F41" s="7">
        <v>5.0</v>
      </c>
      <c r="G41" s="7">
        <v>6.0</v>
      </c>
      <c r="H41" s="6">
        <f t="shared" si="1"/>
        <v>50000</v>
      </c>
      <c r="I41" s="6">
        <f t="shared" si="2"/>
        <v>35400</v>
      </c>
      <c r="J41" s="6">
        <f t="shared" si="3"/>
        <v>-1200</v>
      </c>
      <c r="K41" s="7">
        <f t="shared" si="4"/>
        <v>0.9672131148</v>
      </c>
      <c r="L41" s="6">
        <f t="shared" si="5"/>
        <v>-14600</v>
      </c>
      <c r="M41" s="7">
        <f t="shared" si="6"/>
        <v>0.708</v>
      </c>
      <c r="N41" s="5" t="str">
        <f t="shared" si="7"/>
        <v>Over Budget</v>
      </c>
      <c r="O41" s="5" t="str">
        <f t="shared" si="8"/>
        <v>Behind Schedule</v>
      </c>
      <c r="P41" s="5" t="str">
        <f t="shared" si="9"/>
        <v>In Progress</v>
      </c>
      <c r="Q41" s="8">
        <f t="shared" si="10"/>
        <v>1.051282051</v>
      </c>
    </row>
    <row r="42" ht="15.75" customHeight="1">
      <c r="A42" s="5" t="s">
        <v>67</v>
      </c>
      <c r="B42" s="5" t="s">
        <v>33</v>
      </c>
      <c r="C42" s="6">
        <v>120000.0</v>
      </c>
      <c r="D42" s="7">
        <v>0.23</v>
      </c>
      <c r="E42" s="6">
        <v>18749.0</v>
      </c>
      <c r="F42" s="7">
        <v>9.0</v>
      </c>
      <c r="G42" s="7">
        <v>18.0</v>
      </c>
      <c r="H42" s="6">
        <f t="shared" si="1"/>
        <v>60000</v>
      </c>
      <c r="I42" s="6">
        <f t="shared" si="2"/>
        <v>27600</v>
      </c>
      <c r="J42" s="6">
        <f t="shared" si="3"/>
        <v>8851</v>
      </c>
      <c r="K42" s="7">
        <f t="shared" si="4"/>
        <v>1.472078511</v>
      </c>
      <c r="L42" s="6">
        <f t="shared" si="5"/>
        <v>-32400</v>
      </c>
      <c r="M42" s="7">
        <f t="shared" si="6"/>
        <v>0.46</v>
      </c>
      <c r="N42" s="5" t="str">
        <f t="shared" si="7"/>
        <v>Under Budget</v>
      </c>
      <c r="O42" s="5" t="str">
        <f t="shared" si="8"/>
        <v>Behind Schedule</v>
      </c>
      <c r="P42" s="5" t="str">
        <f t="shared" si="9"/>
        <v>In Progress</v>
      </c>
      <c r="Q42" s="8">
        <f t="shared" si="10"/>
        <v>0.9125835794</v>
      </c>
    </row>
    <row r="43" ht="15.75" customHeight="1">
      <c r="A43" s="5" t="s">
        <v>68</v>
      </c>
      <c r="B43" s="5" t="s">
        <v>33</v>
      </c>
      <c r="C43" s="6">
        <v>250000.0</v>
      </c>
      <c r="D43" s="7">
        <v>0.96</v>
      </c>
      <c r="E43" s="6">
        <v>194978.0</v>
      </c>
      <c r="F43" s="7">
        <v>1.0</v>
      </c>
      <c r="G43" s="7">
        <v>20.0</v>
      </c>
      <c r="H43" s="6">
        <f t="shared" si="1"/>
        <v>12500</v>
      </c>
      <c r="I43" s="6">
        <f t="shared" si="2"/>
        <v>240000</v>
      </c>
      <c r="J43" s="6">
        <f t="shared" si="3"/>
        <v>45022</v>
      </c>
      <c r="K43" s="7">
        <f t="shared" si="4"/>
        <v>1.230908102</v>
      </c>
      <c r="L43" s="6">
        <f t="shared" si="5"/>
        <v>227500</v>
      </c>
      <c r="M43" s="7">
        <f t="shared" si="6"/>
        <v>19.2</v>
      </c>
      <c r="N43" s="5" t="str">
        <f t="shared" si="7"/>
        <v>Under Budget</v>
      </c>
      <c r="O43" s="5" t="str">
        <f t="shared" si="8"/>
        <v>Ahead of Schedule</v>
      </c>
      <c r="P43" s="5" t="str">
        <f t="shared" si="9"/>
        <v>In Progress</v>
      </c>
      <c r="Q43" s="8">
        <f t="shared" si="10"/>
        <v>0.1817454836</v>
      </c>
    </row>
    <row r="44" ht="15.75" customHeight="1">
      <c r="A44" s="5" t="s">
        <v>69</v>
      </c>
      <c r="B44" s="5" t="s">
        <v>58</v>
      </c>
      <c r="C44" s="6">
        <v>80000.0</v>
      </c>
      <c r="D44" s="7">
        <v>0.84</v>
      </c>
      <c r="E44" s="6">
        <v>47229.0</v>
      </c>
      <c r="F44" s="7">
        <v>3.0</v>
      </c>
      <c r="G44" s="7">
        <v>14.0</v>
      </c>
      <c r="H44" s="6">
        <f t="shared" si="1"/>
        <v>17142.85714</v>
      </c>
      <c r="I44" s="6">
        <f t="shared" si="2"/>
        <v>67200</v>
      </c>
      <c r="J44" s="6">
        <f t="shared" si="3"/>
        <v>19971</v>
      </c>
      <c r="K44" s="7">
        <f t="shared" si="4"/>
        <v>1.422854602</v>
      </c>
      <c r="L44" s="6">
        <f t="shared" si="5"/>
        <v>50057.14286</v>
      </c>
      <c r="M44" s="7">
        <f t="shared" si="6"/>
        <v>3.92</v>
      </c>
      <c r="N44" s="5" t="str">
        <f t="shared" si="7"/>
        <v>Under Budget</v>
      </c>
      <c r="O44" s="5" t="str">
        <f t="shared" si="8"/>
        <v>Ahead of Schedule</v>
      </c>
      <c r="P44" s="5" t="str">
        <f t="shared" si="9"/>
        <v>In Progress</v>
      </c>
      <c r="Q44" s="8">
        <f t="shared" si="10"/>
        <v>0.3905892405</v>
      </c>
    </row>
    <row r="45" ht="15.75" customHeight="1">
      <c r="A45" s="5" t="s">
        <v>70</v>
      </c>
      <c r="B45" s="5" t="s">
        <v>24</v>
      </c>
      <c r="C45" s="6">
        <v>300000.0</v>
      </c>
      <c r="D45" s="7">
        <v>0.52</v>
      </c>
      <c r="E45" s="6">
        <v>24208.0</v>
      </c>
      <c r="F45" s="7">
        <v>6.0</v>
      </c>
      <c r="G45" s="7">
        <v>20.0</v>
      </c>
      <c r="H45" s="6">
        <f t="shared" si="1"/>
        <v>90000</v>
      </c>
      <c r="I45" s="6">
        <f t="shared" si="2"/>
        <v>156000</v>
      </c>
      <c r="J45" s="6">
        <f t="shared" si="3"/>
        <v>131792</v>
      </c>
      <c r="K45" s="7">
        <f t="shared" si="4"/>
        <v>6.444150694</v>
      </c>
      <c r="L45" s="6">
        <f t="shared" si="5"/>
        <v>66000</v>
      </c>
      <c r="M45" s="7">
        <f t="shared" si="6"/>
        <v>1.733333333</v>
      </c>
      <c r="N45" s="5" t="str">
        <f t="shared" si="7"/>
        <v>Under Budget</v>
      </c>
      <c r="O45" s="5" t="str">
        <f t="shared" si="8"/>
        <v>Ahead of Schedule</v>
      </c>
      <c r="P45" s="5" t="str">
        <f t="shared" si="9"/>
        <v>In Progress</v>
      </c>
      <c r="Q45" s="8">
        <f t="shared" si="10"/>
        <v>0.5221326217</v>
      </c>
    </row>
    <row r="46" ht="15.75" customHeight="1">
      <c r="A46" s="5" t="s">
        <v>71</v>
      </c>
      <c r="B46" s="5" t="s">
        <v>51</v>
      </c>
      <c r="C46" s="6">
        <v>150000.0</v>
      </c>
      <c r="D46" s="7">
        <v>0.68</v>
      </c>
      <c r="E46" s="6">
        <v>126073.0</v>
      </c>
      <c r="F46" s="7">
        <v>8.0</v>
      </c>
      <c r="G46" s="7">
        <v>12.0</v>
      </c>
      <c r="H46" s="6">
        <f t="shared" si="1"/>
        <v>100000</v>
      </c>
      <c r="I46" s="6">
        <f t="shared" si="2"/>
        <v>102000</v>
      </c>
      <c r="J46" s="6">
        <f t="shared" si="3"/>
        <v>-24073</v>
      </c>
      <c r="K46" s="7">
        <f t="shared" si="4"/>
        <v>0.8090550713</v>
      </c>
      <c r="L46" s="6">
        <f t="shared" si="5"/>
        <v>2000</v>
      </c>
      <c r="M46" s="7">
        <f t="shared" si="6"/>
        <v>1.02</v>
      </c>
      <c r="N46" s="5" t="str">
        <f t="shared" si="7"/>
        <v>Over Budget</v>
      </c>
      <c r="O46" s="5" t="str">
        <f t="shared" si="8"/>
        <v>Ahead of Schedule</v>
      </c>
      <c r="P46" s="5" t="str">
        <f t="shared" si="9"/>
        <v>In Progress</v>
      </c>
      <c r="Q46" s="8">
        <f t="shared" si="10"/>
        <v>2.006101893</v>
      </c>
    </row>
    <row r="47" ht="15.75" customHeight="1">
      <c r="A47" s="5" t="s">
        <v>72</v>
      </c>
      <c r="B47" s="5" t="s">
        <v>33</v>
      </c>
      <c r="C47" s="6">
        <v>500000.0</v>
      </c>
      <c r="D47" s="7">
        <v>0.37</v>
      </c>
      <c r="E47" s="6">
        <v>106462.0</v>
      </c>
      <c r="F47" s="7">
        <v>4.0</v>
      </c>
      <c r="G47" s="7">
        <v>20.0</v>
      </c>
      <c r="H47" s="6">
        <f t="shared" si="1"/>
        <v>100000</v>
      </c>
      <c r="I47" s="6">
        <f t="shared" si="2"/>
        <v>185000</v>
      </c>
      <c r="J47" s="6">
        <f t="shared" si="3"/>
        <v>78538</v>
      </c>
      <c r="K47" s="7">
        <f t="shared" si="4"/>
        <v>1.73770923</v>
      </c>
      <c r="L47" s="6">
        <f t="shared" si="5"/>
        <v>85000</v>
      </c>
      <c r="M47" s="7">
        <f t="shared" si="6"/>
        <v>1.85</v>
      </c>
      <c r="N47" s="5" t="str">
        <f t="shared" si="7"/>
        <v>Under Budget</v>
      </c>
      <c r="O47" s="5" t="str">
        <f t="shared" si="8"/>
        <v>Ahead of Schedule</v>
      </c>
      <c r="P47" s="5" t="str">
        <f t="shared" si="9"/>
        <v>In Progress</v>
      </c>
      <c r="Q47" s="8">
        <f t="shared" si="10"/>
        <v>0.8004309622</v>
      </c>
    </row>
    <row r="48" ht="15.75" customHeight="1">
      <c r="A48" s="5" t="s">
        <v>73</v>
      </c>
      <c r="B48" s="5" t="s">
        <v>22</v>
      </c>
      <c r="C48" s="6">
        <v>90000.0</v>
      </c>
      <c r="D48" s="7">
        <v>0.92</v>
      </c>
      <c r="E48" s="6">
        <v>56790.0</v>
      </c>
      <c r="F48" s="7">
        <v>12.0</v>
      </c>
      <c r="G48" s="7">
        <v>14.0</v>
      </c>
      <c r="H48" s="6">
        <f t="shared" si="1"/>
        <v>77142.85714</v>
      </c>
      <c r="I48" s="6">
        <f t="shared" si="2"/>
        <v>82800</v>
      </c>
      <c r="J48" s="6">
        <f t="shared" si="3"/>
        <v>26010</v>
      </c>
      <c r="K48" s="7">
        <f t="shared" si="4"/>
        <v>1.45800317</v>
      </c>
      <c r="L48" s="6">
        <f t="shared" si="5"/>
        <v>5657.142857</v>
      </c>
      <c r="M48" s="7">
        <f t="shared" si="6"/>
        <v>1.073333333</v>
      </c>
      <c r="N48" s="5" t="str">
        <f t="shared" si="7"/>
        <v>Under Budget</v>
      </c>
      <c r="O48" s="5" t="str">
        <f t="shared" si="8"/>
        <v>Ahead of Schedule</v>
      </c>
      <c r="P48" s="5" t="str">
        <f t="shared" si="9"/>
        <v>In Progress</v>
      </c>
      <c r="Q48" s="8">
        <f t="shared" si="10"/>
        <v>0.216802168</v>
      </c>
    </row>
    <row r="49" ht="15.75" customHeight="1">
      <c r="A49" s="5" t="s">
        <v>74</v>
      </c>
      <c r="B49" s="5" t="s">
        <v>51</v>
      </c>
      <c r="C49" s="6">
        <v>220000.0</v>
      </c>
      <c r="D49" s="7">
        <v>0.08</v>
      </c>
      <c r="E49" s="6">
        <v>169402.0</v>
      </c>
      <c r="F49" s="7">
        <v>9.0</v>
      </c>
      <c r="G49" s="7">
        <v>15.0</v>
      </c>
      <c r="H49" s="6">
        <f t="shared" si="1"/>
        <v>132000</v>
      </c>
      <c r="I49" s="6">
        <f t="shared" si="2"/>
        <v>17600</v>
      </c>
      <c r="J49" s="6">
        <f t="shared" si="3"/>
        <v>-151802</v>
      </c>
      <c r="K49" s="7">
        <f t="shared" si="4"/>
        <v>0.1038948773</v>
      </c>
      <c r="L49" s="6">
        <f t="shared" si="5"/>
        <v>-114400</v>
      </c>
      <c r="M49" s="7">
        <f t="shared" si="6"/>
        <v>0.1333333333</v>
      </c>
      <c r="N49" s="5" t="str">
        <f t="shared" si="7"/>
        <v>Over Budget</v>
      </c>
      <c r="O49" s="5" t="str">
        <f t="shared" si="8"/>
        <v>Behind Schedule</v>
      </c>
      <c r="P49" s="5" t="str">
        <f t="shared" si="9"/>
        <v>In Progress</v>
      </c>
      <c r="Q49" s="8">
        <f t="shared" si="10"/>
        <v>4.000158109</v>
      </c>
    </row>
    <row r="50" ht="15.75" customHeight="1">
      <c r="A50" s="5" t="s">
        <v>75</v>
      </c>
      <c r="B50" s="5" t="s">
        <v>18</v>
      </c>
      <c r="C50" s="6">
        <v>400000.0</v>
      </c>
      <c r="D50" s="7">
        <v>0.48</v>
      </c>
      <c r="E50" s="6">
        <v>181672.0</v>
      </c>
      <c r="F50" s="7">
        <v>6.0</v>
      </c>
      <c r="G50" s="7">
        <v>20.0</v>
      </c>
      <c r="H50" s="6">
        <f t="shared" si="1"/>
        <v>120000</v>
      </c>
      <c r="I50" s="6">
        <f t="shared" si="2"/>
        <v>192000</v>
      </c>
      <c r="J50" s="6">
        <f t="shared" si="3"/>
        <v>10328</v>
      </c>
      <c r="K50" s="7">
        <f t="shared" si="4"/>
        <v>1.056849707</v>
      </c>
      <c r="L50" s="6">
        <f t="shared" si="5"/>
        <v>72000</v>
      </c>
      <c r="M50" s="7">
        <f t="shared" si="6"/>
        <v>1.6</v>
      </c>
      <c r="N50" s="5" t="str">
        <f t="shared" si="7"/>
        <v>Under Budget</v>
      </c>
      <c r="O50" s="5" t="str">
        <f t="shared" si="8"/>
        <v>Ahead of Schedule</v>
      </c>
      <c r="P50" s="5" t="str">
        <f t="shared" si="9"/>
        <v>In Progress</v>
      </c>
      <c r="Q50" s="8">
        <f t="shared" si="10"/>
        <v>0.9526950277</v>
      </c>
    </row>
    <row r="51" ht="15.75" customHeight="1">
      <c r="A51" s="5" t="s">
        <v>76</v>
      </c>
      <c r="B51" s="5" t="s">
        <v>33</v>
      </c>
      <c r="C51" s="6">
        <v>75000.0</v>
      </c>
      <c r="D51" s="7">
        <v>0.34</v>
      </c>
      <c r="E51" s="6">
        <v>54436.0</v>
      </c>
      <c r="F51" s="7">
        <v>10.0</v>
      </c>
      <c r="G51" s="7">
        <v>12.0</v>
      </c>
      <c r="H51" s="6">
        <f t="shared" si="1"/>
        <v>62500</v>
      </c>
      <c r="I51" s="6">
        <f t="shared" si="2"/>
        <v>25500</v>
      </c>
      <c r="J51" s="6">
        <f t="shared" si="3"/>
        <v>-28936</v>
      </c>
      <c r="K51" s="7">
        <f t="shared" si="4"/>
        <v>0.4684400029</v>
      </c>
      <c r="L51" s="6">
        <f t="shared" si="5"/>
        <v>-37000</v>
      </c>
      <c r="M51" s="7">
        <f t="shared" si="6"/>
        <v>0.408</v>
      </c>
      <c r="N51" s="5" t="str">
        <f t="shared" si="7"/>
        <v>Over Budget</v>
      </c>
      <c r="O51" s="5" t="str">
        <f t="shared" si="8"/>
        <v>Behind Schedule</v>
      </c>
      <c r="P51" s="5" t="str">
        <f t="shared" si="9"/>
        <v>In Progress</v>
      </c>
      <c r="Q51" s="8">
        <f t="shared" si="10"/>
        <v>2.407119238</v>
      </c>
    </row>
    <row r="52" ht="15.75" customHeight="1">
      <c r="A52" s="5" t="s">
        <v>77</v>
      </c>
      <c r="B52" s="5" t="s">
        <v>33</v>
      </c>
      <c r="C52" s="6">
        <v>600000.0</v>
      </c>
      <c r="D52" s="7">
        <v>0.88</v>
      </c>
      <c r="E52" s="6">
        <v>568514.0</v>
      </c>
      <c r="F52" s="7">
        <v>3.0</v>
      </c>
      <c r="G52" s="7">
        <v>20.0</v>
      </c>
      <c r="H52" s="6">
        <f t="shared" si="1"/>
        <v>90000</v>
      </c>
      <c r="I52" s="6">
        <f t="shared" si="2"/>
        <v>528000</v>
      </c>
      <c r="J52" s="6">
        <f t="shared" si="3"/>
        <v>-40514</v>
      </c>
      <c r="K52" s="7">
        <f t="shared" si="4"/>
        <v>0.9287370232</v>
      </c>
      <c r="L52" s="6">
        <f t="shared" si="5"/>
        <v>438000</v>
      </c>
      <c r="M52" s="7">
        <f t="shared" si="6"/>
        <v>5.866666667</v>
      </c>
      <c r="N52" s="5" t="str">
        <f t="shared" si="7"/>
        <v>Over Budget</v>
      </c>
      <c r="O52" s="5" t="str">
        <f t="shared" si="8"/>
        <v>Ahead of Schedule</v>
      </c>
      <c r="P52" s="5" t="str">
        <f t="shared" si="9"/>
        <v>In Progress</v>
      </c>
      <c r="Q52" s="8">
        <f t="shared" si="10"/>
        <v>2.28673061</v>
      </c>
    </row>
    <row r="53" ht="15.75" customHeight="1">
      <c r="A53" s="5" t="s">
        <v>78</v>
      </c>
      <c r="B53" s="5" t="s">
        <v>58</v>
      </c>
      <c r="C53" s="6">
        <v>130000.0</v>
      </c>
      <c r="D53" s="7">
        <v>0.78</v>
      </c>
      <c r="E53" s="6">
        <v>45571.0</v>
      </c>
      <c r="F53" s="7">
        <v>2.0</v>
      </c>
      <c r="G53" s="7">
        <v>12.0</v>
      </c>
      <c r="H53" s="6">
        <f t="shared" si="1"/>
        <v>21666.66667</v>
      </c>
      <c r="I53" s="6">
        <f t="shared" si="2"/>
        <v>101400</v>
      </c>
      <c r="J53" s="6">
        <f t="shared" si="3"/>
        <v>55829</v>
      </c>
      <c r="K53" s="7">
        <f t="shared" si="4"/>
        <v>2.225099296</v>
      </c>
      <c r="L53" s="6">
        <f t="shared" si="5"/>
        <v>79733.33333</v>
      </c>
      <c r="M53" s="7">
        <f t="shared" si="6"/>
        <v>4.68</v>
      </c>
      <c r="N53" s="5" t="str">
        <f t="shared" si="7"/>
        <v>Under Budget</v>
      </c>
      <c r="O53" s="5" t="str">
        <f t="shared" si="8"/>
        <v>Ahead of Schedule</v>
      </c>
      <c r="P53" s="5" t="str">
        <f t="shared" si="9"/>
        <v>In Progress</v>
      </c>
      <c r="Q53" s="8">
        <f t="shared" si="10"/>
        <v>0.3387461654</v>
      </c>
    </row>
    <row r="54" ht="15.75" customHeight="1">
      <c r="A54" s="5" t="s">
        <v>79</v>
      </c>
      <c r="B54" s="5" t="s">
        <v>20</v>
      </c>
      <c r="C54" s="6">
        <v>270000.0</v>
      </c>
      <c r="D54" s="7">
        <v>0.64</v>
      </c>
      <c r="E54" s="6">
        <v>46660.0</v>
      </c>
      <c r="F54" s="7">
        <v>15.0</v>
      </c>
      <c r="G54" s="7">
        <v>20.0</v>
      </c>
      <c r="H54" s="6">
        <f t="shared" si="1"/>
        <v>202500</v>
      </c>
      <c r="I54" s="6">
        <f t="shared" si="2"/>
        <v>172800</v>
      </c>
      <c r="J54" s="6">
        <f t="shared" si="3"/>
        <v>126140</v>
      </c>
      <c r="K54" s="7">
        <f t="shared" si="4"/>
        <v>3.703386198</v>
      </c>
      <c r="L54" s="6">
        <f t="shared" si="5"/>
        <v>-29700</v>
      </c>
      <c r="M54" s="7">
        <f t="shared" si="6"/>
        <v>0.8533333333</v>
      </c>
      <c r="N54" s="5" t="str">
        <f t="shared" si="7"/>
        <v>Under Budget</v>
      </c>
      <c r="O54" s="5" t="str">
        <f t="shared" si="8"/>
        <v>Behind Schedule</v>
      </c>
      <c r="P54" s="5" t="str">
        <f t="shared" si="9"/>
        <v>In Progress</v>
      </c>
      <c r="Q54" s="8">
        <f t="shared" si="10"/>
        <v>0.4352108892</v>
      </c>
    </row>
    <row r="55" ht="15.75" customHeight="1">
      <c r="A55" s="5" t="s">
        <v>80</v>
      </c>
      <c r="B55" s="5" t="s">
        <v>39</v>
      </c>
      <c r="C55" s="6">
        <v>95000.0</v>
      </c>
      <c r="D55" s="7">
        <v>0.31</v>
      </c>
      <c r="E55" s="6">
        <v>83295.0</v>
      </c>
      <c r="F55" s="7">
        <v>9.0</v>
      </c>
      <c r="G55" s="7">
        <v>12.0</v>
      </c>
      <c r="H55" s="6">
        <f t="shared" si="1"/>
        <v>71250</v>
      </c>
      <c r="I55" s="6">
        <f t="shared" si="2"/>
        <v>29450</v>
      </c>
      <c r="J55" s="6">
        <f t="shared" si="3"/>
        <v>-53845</v>
      </c>
      <c r="K55" s="7">
        <f t="shared" si="4"/>
        <v>0.3535626388</v>
      </c>
      <c r="L55" s="6">
        <f t="shared" si="5"/>
        <v>-41800</v>
      </c>
      <c r="M55" s="7">
        <f t="shared" si="6"/>
        <v>0.4133333333</v>
      </c>
      <c r="N55" s="5" t="str">
        <f t="shared" si="7"/>
        <v>Over Budget</v>
      </c>
      <c r="O55" s="5" t="str">
        <f t="shared" si="8"/>
        <v>Behind Schedule</v>
      </c>
      <c r="P55" s="5" t="str">
        <f t="shared" si="9"/>
        <v>In Progress</v>
      </c>
      <c r="Q55" s="8">
        <f t="shared" si="10"/>
        <v>5.600170867</v>
      </c>
    </row>
    <row r="56" ht="15.75" customHeight="1">
      <c r="A56" s="5" t="s">
        <v>81</v>
      </c>
      <c r="B56" s="5" t="s">
        <v>24</v>
      </c>
      <c r="C56" s="6">
        <v>800000.0</v>
      </c>
      <c r="D56" s="7">
        <v>0.15</v>
      </c>
      <c r="E56" s="6">
        <v>160274.0</v>
      </c>
      <c r="F56" s="7">
        <v>10.0</v>
      </c>
      <c r="G56" s="7">
        <v>20.0</v>
      </c>
      <c r="H56" s="6">
        <f t="shared" si="1"/>
        <v>400000</v>
      </c>
      <c r="I56" s="6">
        <f t="shared" si="2"/>
        <v>120000</v>
      </c>
      <c r="J56" s="6">
        <f t="shared" si="3"/>
        <v>-40274</v>
      </c>
      <c r="K56" s="7">
        <f t="shared" si="4"/>
        <v>0.7487178207</v>
      </c>
      <c r="L56" s="6">
        <f t="shared" si="5"/>
        <v>-280000</v>
      </c>
      <c r="M56" s="7">
        <f t="shared" si="6"/>
        <v>0.3</v>
      </c>
      <c r="N56" s="5" t="str">
        <f t="shared" si="7"/>
        <v>Over Budget</v>
      </c>
      <c r="O56" s="5" t="str">
        <f t="shared" si="8"/>
        <v>Behind Schedule</v>
      </c>
      <c r="P56" s="5" t="str">
        <f t="shared" si="9"/>
        <v>In Progress</v>
      </c>
      <c r="Q56" s="8">
        <f t="shared" si="10"/>
        <v>1.062955078</v>
      </c>
    </row>
    <row r="57" ht="15.75" customHeight="1">
      <c r="A57" s="5" t="s">
        <v>82</v>
      </c>
      <c r="B57" s="5" t="s">
        <v>22</v>
      </c>
      <c r="C57" s="6">
        <v>180000.0</v>
      </c>
      <c r="D57" s="7">
        <v>0.7000000000000001</v>
      </c>
      <c r="E57" s="6">
        <v>8355.0</v>
      </c>
      <c r="F57" s="7">
        <v>12.0</v>
      </c>
      <c r="G57" s="7">
        <v>12.0</v>
      </c>
      <c r="H57" s="6">
        <f t="shared" si="1"/>
        <v>180000</v>
      </c>
      <c r="I57" s="6">
        <f t="shared" si="2"/>
        <v>126000</v>
      </c>
      <c r="J57" s="6">
        <f t="shared" si="3"/>
        <v>117645</v>
      </c>
      <c r="K57" s="7">
        <f t="shared" si="4"/>
        <v>15.08078995</v>
      </c>
      <c r="L57" s="6">
        <f t="shared" si="5"/>
        <v>-54000</v>
      </c>
      <c r="M57" s="7">
        <f t="shared" si="6"/>
        <v>0.7</v>
      </c>
      <c r="N57" s="5" t="str">
        <f t="shared" si="7"/>
        <v>Under Budget</v>
      </c>
      <c r="O57" s="5" t="str">
        <f t="shared" si="8"/>
        <v>Behind Schedule</v>
      </c>
      <c r="P57" s="5" t="str">
        <f t="shared" si="9"/>
        <v>In Progress</v>
      </c>
      <c r="Q57" s="8">
        <f t="shared" si="10"/>
        <v>0.3146028139</v>
      </c>
    </row>
    <row r="58" ht="15.75" customHeight="1">
      <c r="A58" s="5" t="s">
        <v>83</v>
      </c>
      <c r="B58" s="5" t="s">
        <v>18</v>
      </c>
      <c r="C58" s="6">
        <v>350000.0</v>
      </c>
      <c r="D58" s="7">
        <v>0.54</v>
      </c>
      <c r="E58" s="6">
        <v>280659.0</v>
      </c>
      <c r="F58" s="7">
        <v>13.0</v>
      </c>
      <c r="G58" s="7">
        <v>20.0</v>
      </c>
      <c r="H58" s="6">
        <f t="shared" si="1"/>
        <v>227500</v>
      </c>
      <c r="I58" s="6">
        <f t="shared" si="2"/>
        <v>189000</v>
      </c>
      <c r="J58" s="6">
        <f t="shared" si="3"/>
        <v>-91659</v>
      </c>
      <c r="K58" s="7">
        <f t="shared" si="4"/>
        <v>0.6734150695</v>
      </c>
      <c r="L58" s="6">
        <f t="shared" si="5"/>
        <v>-38500</v>
      </c>
      <c r="M58" s="7">
        <f t="shared" si="6"/>
        <v>0.8307692308</v>
      </c>
      <c r="N58" s="5" t="str">
        <f t="shared" si="7"/>
        <v>Over Budget</v>
      </c>
      <c r="O58" s="5" t="str">
        <f t="shared" si="8"/>
        <v>Behind Schedule</v>
      </c>
      <c r="P58" s="5" t="str">
        <f t="shared" si="9"/>
        <v>In Progress</v>
      </c>
      <c r="Q58" s="8">
        <f t="shared" si="10"/>
        <v>2.321858641</v>
      </c>
    </row>
    <row r="59" ht="15.75" customHeight="1">
      <c r="A59" s="5" t="s">
        <v>84</v>
      </c>
      <c r="B59" s="5" t="s">
        <v>31</v>
      </c>
      <c r="C59" s="6">
        <v>110000.0</v>
      </c>
      <c r="D59" s="7">
        <v>0.37</v>
      </c>
      <c r="E59" s="6">
        <v>106069.0</v>
      </c>
      <c r="F59" s="7">
        <v>1.0</v>
      </c>
      <c r="G59" s="7">
        <v>12.0</v>
      </c>
      <c r="H59" s="6">
        <f t="shared" si="1"/>
        <v>9166.666667</v>
      </c>
      <c r="I59" s="6">
        <f t="shared" si="2"/>
        <v>40700</v>
      </c>
      <c r="J59" s="6">
        <f t="shared" si="3"/>
        <v>-65369</v>
      </c>
      <c r="K59" s="7">
        <f t="shared" si="4"/>
        <v>0.383712489</v>
      </c>
      <c r="L59" s="6">
        <f t="shared" si="5"/>
        <v>31533.33333</v>
      </c>
      <c r="M59" s="7">
        <f t="shared" si="6"/>
        <v>4.44</v>
      </c>
      <c r="N59" s="5" t="str">
        <f t="shared" si="7"/>
        <v>Over Budget</v>
      </c>
      <c r="O59" s="5" t="str">
        <f t="shared" si="8"/>
        <v>Ahead of Schedule</v>
      </c>
      <c r="P59" s="5" t="str">
        <f t="shared" si="9"/>
        <v>In Progress</v>
      </c>
      <c r="Q59" s="8">
        <f t="shared" si="10"/>
        <v>17.62910201</v>
      </c>
    </row>
    <row r="60" ht="15.75" customHeight="1">
      <c r="A60" s="5" t="s">
        <v>85</v>
      </c>
      <c r="B60" s="5" t="s">
        <v>22</v>
      </c>
      <c r="C60" s="6">
        <v>1000000.0</v>
      </c>
      <c r="D60" s="7">
        <v>0.42</v>
      </c>
      <c r="E60" s="6">
        <v>683823.0</v>
      </c>
      <c r="F60" s="7">
        <v>13.0</v>
      </c>
      <c r="G60" s="7">
        <v>20.0</v>
      </c>
      <c r="H60" s="6">
        <f t="shared" si="1"/>
        <v>650000</v>
      </c>
      <c r="I60" s="6">
        <f t="shared" si="2"/>
        <v>420000</v>
      </c>
      <c r="J60" s="6">
        <f t="shared" si="3"/>
        <v>-263823</v>
      </c>
      <c r="K60" s="7">
        <f t="shared" si="4"/>
        <v>0.6141940239</v>
      </c>
      <c r="L60" s="6">
        <f t="shared" si="5"/>
        <v>-230000</v>
      </c>
      <c r="M60" s="7">
        <f t="shared" si="6"/>
        <v>0.6461538462</v>
      </c>
      <c r="N60" s="5" t="str">
        <f t="shared" si="7"/>
        <v>Over Budget</v>
      </c>
      <c r="O60" s="5" t="str">
        <f t="shared" si="8"/>
        <v>Behind Schedule</v>
      </c>
      <c r="P60" s="5" t="str">
        <f t="shared" si="9"/>
        <v>In Progress</v>
      </c>
      <c r="Q60" s="8">
        <f t="shared" si="10"/>
        <v>1.834415533</v>
      </c>
    </row>
    <row r="61" ht="15.75" customHeight="1">
      <c r="A61" s="5" t="s">
        <v>86</v>
      </c>
      <c r="B61" s="5" t="s">
        <v>26</v>
      </c>
      <c r="C61" s="6">
        <v>60000.0</v>
      </c>
      <c r="D61" s="7">
        <v>0.28</v>
      </c>
      <c r="E61" s="6">
        <v>13950.0</v>
      </c>
      <c r="F61" s="7">
        <v>1.0</v>
      </c>
      <c r="G61" s="7">
        <v>6.0</v>
      </c>
      <c r="H61" s="6">
        <f t="shared" si="1"/>
        <v>10000</v>
      </c>
      <c r="I61" s="6">
        <f t="shared" si="2"/>
        <v>16800</v>
      </c>
      <c r="J61" s="6">
        <f t="shared" si="3"/>
        <v>2850</v>
      </c>
      <c r="K61" s="7">
        <f t="shared" si="4"/>
        <v>1.204301075</v>
      </c>
      <c r="L61" s="6">
        <f t="shared" si="5"/>
        <v>6800</v>
      </c>
      <c r="M61" s="7">
        <f t="shared" si="6"/>
        <v>1.68</v>
      </c>
      <c r="N61" s="5" t="str">
        <f t="shared" si="7"/>
        <v>Under Budget</v>
      </c>
      <c r="O61" s="5" t="str">
        <f t="shared" si="8"/>
        <v>Ahead of Schedule</v>
      </c>
      <c r="P61" s="5" t="str">
        <f t="shared" si="9"/>
        <v>In Progress</v>
      </c>
      <c r="Q61" s="8">
        <f t="shared" si="10"/>
        <v>0.9381107492</v>
      </c>
    </row>
    <row r="62" ht="15.75" customHeight="1">
      <c r="A62" s="5" t="s">
        <v>87</v>
      </c>
      <c r="B62" s="5" t="s">
        <v>20</v>
      </c>
      <c r="C62" s="6">
        <v>120000.0</v>
      </c>
      <c r="D62" s="7">
        <v>0.68</v>
      </c>
      <c r="E62" s="6">
        <v>64754.0</v>
      </c>
      <c r="F62" s="7">
        <v>16.0</v>
      </c>
      <c r="G62" s="7">
        <v>18.0</v>
      </c>
      <c r="H62" s="6">
        <f t="shared" si="1"/>
        <v>106666.6667</v>
      </c>
      <c r="I62" s="6">
        <f t="shared" si="2"/>
        <v>81600</v>
      </c>
      <c r="J62" s="6">
        <f t="shared" si="3"/>
        <v>16846</v>
      </c>
      <c r="K62" s="7">
        <f t="shared" si="4"/>
        <v>1.260153813</v>
      </c>
      <c r="L62" s="6">
        <f t="shared" si="5"/>
        <v>-25066.66667</v>
      </c>
      <c r="M62" s="7">
        <f t="shared" si="6"/>
        <v>0.765</v>
      </c>
      <c r="N62" s="5" t="str">
        <f t="shared" si="7"/>
        <v>Under Budget</v>
      </c>
      <c r="O62" s="5" t="str">
        <f t="shared" si="8"/>
        <v>Behind Schedule</v>
      </c>
      <c r="P62" s="5" t="str">
        <f t="shared" si="9"/>
        <v>In Progress</v>
      </c>
      <c r="Q62" s="8">
        <f t="shared" si="10"/>
        <v>0.6950729465</v>
      </c>
    </row>
    <row r="63" ht="15.75" customHeight="1">
      <c r="A63" s="5" t="s">
        <v>88</v>
      </c>
      <c r="B63" s="5" t="s">
        <v>24</v>
      </c>
      <c r="C63" s="6">
        <v>250000.0</v>
      </c>
      <c r="D63" s="7">
        <v>0.87</v>
      </c>
      <c r="E63" s="6">
        <v>230808.0</v>
      </c>
      <c r="F63" s="7">
        <v>10.0</v>
      </c>
      <c r="G63" s="7">
        <v>20.0</v>
      </c>
      <c r="H63" s="6">
        <f t="shared" si="1"/>
        <v>125000</v>
      </c>
      <c r="I63" s="6">
        <f t="shared" si="2"/>
        <v>217500</v>
      </c>
      <c r="J63" s="6">
        <f t="shared" si="3"/>
        <v>-13308</v>
      </c>
      <c r="K63" s="7">
        <f t="shared" si="4"/>
        <v>0.9423416866</v>
      </c>
      <c r="L63" s="6">
        <f t="shared" si="5"/>
        <v>92500</v>
      </c>
      <c r="M63" s="7">
        <f t="shared" si="6"/>
        <v>1.74</v>
      </c>
      <c r="N63" s="5" t="str">
        <f t="shared" si="7"/>
        <v>Over Budget</v>
      </c>
      <c r="O63" s="5" t="str">
        <f t="shared" si="8"/>
        <v>Ahead of Schedule</v>
      </c>
      <c r="P63" s="5" t="str">
        <f t="shared" si="9"/>
        <v>In Progress</v>
      </c>
      <c r="Q63" s="8">
        <f t="shared" si="10"/>
        <v>1.693413922</v>
      </c>
    </row>
    <row r="64" ht="15.75" customHeight="1">
      <c r="A64" s="5" t="s">
        <v>89</v>
      </c>
      <c r="B64" s="5" t="s">
        <v>22</v>
      </c>
      <c r="C64" s="6">
        <v>80000.0</v>
      </c>
      <c r="D64" s="7">
        <v>0.97</v>
      </c>
      <c r="E64" s="6">
        <v>72213.0</v>
      </c>
      <c r="F64" s="7">
        <v>14.0</v>
      </c>
      <c r="G64" s="7">
        <v>14.0</v>
      </c>
      <c r="H64" s="6">
        <f t="shared" si="1"/>
        <v>80000</v>
      </c>
      <c r="I64" s="6">
        <f t="shared" si="2"/>
        <v>77600</v>
      </c>
      <c r="J64" s="6">
        <f t="shared" si="3"/>
        <v>5387</v>
      </c>
      <c r="K64" s="7">
        <f t="shared" si="4"/>
        <v>1.074598756</v>
      </c>
      <c r="L64" s="6">
        <f t="shared" si="5"/>
        <v>-2400</v>
      </c>
      <c r="M64" s="7">
        <f t="shared" si="6"/>
        <v>0.97</v>
      </c>
      <c r="N64" s="5" t="str">
        <f t="shared" si="7"/>
        <v>Under Budget</v>
      </c>
      <c r="O64" s="5" t="str">
        <f t="shared" si="8"/>
        <v>Behind Schedule</v>
      </c>
      <c r="P64" s="5" t="str">
        <f t="shared" si="9"/>
        <v>In Progress</v>
      </c>
      <c r="Q64" s="8">
        <f t="shared" si="10"/>
        <v>0.3082059843</v>
      </c>
    </row>
    <row r="65" ht="15.75" customHeight="1">
      <c r="A65" s="5" t="s">
        <v>90</v>
      </c>
      <c r="B65" s="5" t="s">
        <v>22</v>
      </c>
      <c r="C65" s="6">
        <v>300000.0</v>
      </c>
      <c r="D65" s="7">
        <v>0.58</v>
      </c>
      <c r="E65" s="6">
        <v>183929.0</v>
      </c>
      <c r="F65" s="7">
        <v>19.0</v>
      </c>
      <c r="G65" s="7">
        <v>20.0</v>
      </c>
      <c r="H65" s="6">
        <f t="shared" si="1"/>
        <v>285000</v>
      </c>
      <c r="I65" s="6">
        <f t="shared" si="2"/>
        <v>174000</v>
      </c>
      <c r="J65" s="6">
        <f t="shared" si="3"/>
        <v>-9929</v>
      </c>
      <c r="K65" s="7">
        <f t="shared" si="4"/>
        <v>0.9460172132</v>
      </c>
      <c r="L65" s="6">
        <f t="shared" si="5"/>
        <v>-111000</v>
      </c>
      <c r="M65" s="7">
        <f t="shared" si="6"/>
        <v>0.6105263158</v>
      </c>
      <c r="N65" s="5" t="str">
        <f t="shared" si="7"/>
        <v>Over Budget</v>
      </c>
      <c r="O65" s="5" t="str">
        <f t="shared" si="8"/>
        <v>Behind Schedule</v>
      </c>
      <c r="P65" s="5" t="str">
        <f t="shared" si="9"/>
        <v>In Progress</v>
      </c>
      <c r="Q65" s="8">
        <f t="shared" si="10"/>
        <v>1.08554247</v>
      </c>
    </row>
    <row r="66" ht="15.75" customHeight="1">
      <c r="A66" s="5" t="s">
        <v>91</v>
      </c>
      <c r="B66" s="5" t="s">
        <v>20</v>
      </c>
      <c r="C66" s="6">
        <v>150000.0</v>
      </c>
      <c r="D66" s="7">
        <v>0.52</v>
      </c>
      <c r="E66" s="6">
        <v>129187.0</v>
      </c>
      <c r="F66" s="7">
        <v>8.0</v>
      </c>
      <c r="G66" s="7">
        <v>12.0</v>
      </c>
      <c r="H66" s="6">
        <f t="shared" si="1"/>
        <v>100000</v>
      </c>
      <c r="I66" s="6">
        <f t="shared" si="2"/>
        <v>78000</v>
      </c>
      <c r="J66" s="6">
        <f t="shared" si="3"/>
        <v>-51187</v>
      </c>
      <c r="K66" s="7">
        <f t="shared" si="4"/>
        <v>0.6037759217</v>
      </c>
      <c r="L66" s="6">
        <f t="shared" si="5"/>
        <v>-22000</v>
      </c>
      <c r="M66" s="7">
        <f t="shared" si="6"/>
        <v>0.78</v>
      </c>
      <c r="N66" s="5" t="str">
        <f t="shared" si="7"/>
        <v>Over Budget</v>
      </c>
      <c r="O66" s="5" t="str">
        <f t="shared" si="8"/>
        <v>Behind Schedule</v>
      </c>
      <c r="P66" s="5" t="str">
        <f t="shared" si="9"/>
        <v>In Progress</v>
      </c>
      <c r="Q66" s="8">
        <f t="shared" si="10"/>
        <v>3.459376351</v>
      </c>
    </row>
    <row r="67" ht="15.75" customHeight="1">
      <c r="A67" s="5" t="s">
        <v>92</v>
      </c>
      <c r="B67" s="5" t="s">
        <v>39</v>
      </c>
      <c r="C67" s="6">
        <v>500000.0</v>
      </c>
      <c r="D67" s="7">
        <v>0.85</v>
      </c>
      <c r="E67" s="6">
        <v>8340.0</v>
      </c>
      <c r="F67" s="7">
        <v>18.0</v>
      </c>
      <c r="G67" s="7">
        <v>20.0</v>
      </c>
      <c r="H67" s="6">
        <f t="shared" si="1"/>
        <v>450000</v>
      </c>
      <c r="I67" s="6">
        <f t="shared" si="2"/>
        <v>425000</v>
      </c>
      <c r="J67" s="6">
        <f t="shared" si="3"/>
        <v>416660</v>
      </c>
      <c r="K67" s="7">
        <f t="shared" si="4"/>
        <v>50.95923261</v>
      </c>
      <c r="L67" s="6">
        <f t="shared" si="5"/>
        <v>-25000</v>
      </c>
      <c r="M67" s="7">
        <f t="shared" si="6"/>
        <v>0.9444444444</v>
      </c>
      <c r="N67" s="5" t="str">
        <f t="shared" si="7"/>
        <v>Under Budget</v>
      </c>
      <c r="O67" s="5" t="str">
        <f t="shared" si="8"/>
        <v>Behind Schedule</v>
      </c>
      <c r="P67" s="5" t="str">
        <f t="shared" si="9"/>
        <v>In Progress</v>
      </c>
      <c r="Q67" s="8">
        <f t="shared" si="10"/>
        <v>0.1525444413</v>
      </c>
    </row>
    <row r="68" ht="15.75" customHeight="1">
      <c r="A68" s="5" t="s">
        <v>93</v>
      </c>
      <c r="B68" s="5" t="s">
        <v>33</v>
      </c>
      <c r="C68" s="6">
        <v>90000.0</v>
      </c>
      <c r="D68" s="7">
        <v>0.9</v>
      </c>
      <c r="E68" s="6">
        <v>73882.0</v>
      </c>
      <c r="F68" s="7">
        <v>14.0</v>
      </c>
      <c r="G68" s="7">
        <v>14.0</v>
      </c>
      <c r="H68" s="6">
        <f t="shared" si="1"/>
        <v>90000</v>
      </c>
      <c r="I68" s="6">
        <f t="shared" si="2"/>
        <v>81000</v>
      </c>
      <c r="J68" s="6">
        <f t="shared" si="3"/>
        <v>7118</v>
      </c>
      <c r="K68" s="7">
        <f t="shared" si="4"/>
        <v>1.096342817</v>
      </c>
      <c r="L68" s="6">
        <f t="shared" si="5"/>
        <v>-9000</v>
      </c>
      <c r="M68" s="7">
        <f t="shared" si="6"/>
        <v>0.9</v>
      </c>
      <c r="N68" s="5" t="str">
        <f t="shared" si="7"/>
        <v>Under Budget</v>
      </c>
      <c r="O68" s="5" t="str">
        <f t="shared" si="8"/>
        <v>Behind Schedule</v>
      </c>
      <c r="P68" s="5" t="str">
        <f t="shared" si="9"/>
        <v>In Progress</v>
      </c>
      <c r="Q68" s="8">
        <f t="shared" si="10"/>
        <v>0.5583819332</v>
      </c>
    </row>
    <row r="69" ht="15.75" customHeight="1">
      <c r="A69" s="5" t="s">
        <v>94</v>
      </c>
      <c r="B69" s="5" t="s">
        <v>22</v>
      </c>
      <c r="C69" s="6">
        <v>220000.0</v>
      </c>
      <c r="D69" s="7">
        <v>0.42</v>
      </c>
      <c r="E69" s="6">
        <v>9751.0</v>
      </c>
      <c r="F69" s="7">
        <v>5.0</v>
      </c>
      <c r="G69" s="7">
        <v>15.0</v>
      </c>
      <c r="H69" s="6">
        <f t="shared" si="1"/>
        <v>73333.33333</v>
      </c>
      <c r="I69" s="6">
        <f t="shared" si="2"/>
        <v>92400</v>
      </c>
      <c r="J69" s="6">
        <f t="shared" si="3"/>
        <v>82649</v>
      </c>
      <c r="K69" s="7">
        <f t="shared" si="4"/>
        <v>9.475951184</v>
      </c>
      <c r="L69" s="6">
        <f t="shared" si="5"/>
        <v>19066.66667</v>
      </c>
      <c r="M69" s="7">
        <f t="shared" si="6"/>
        <v>1.26</v>
      </c>
      <c r="N69" s="5" t="str">
        <f t="shared" si="7"/>
        <v>Under Budget</v>
      </c>
      <c r="O69" s="5" t="str">
        <f t="shared" si="8"/>
        <v>Ahead of Schedule</v>
      </c>
      <c r="P69" s="5" t="str">
        <f t="shared" si="9"/>
        <v>In Progress</v>
      </c>
      <c r="Q69" s="8">
        <f t="shared" si="10"/>
        <v>0.6068994383</v>
      </c>
    </row>
    <row r="70" ht="15.75" customHeight="1">
      <c r="A70" s="5" t="s">
        <v>95</v>
      </c>
      <c r="B70" s="5" t="s">
        <v>24</v>
      </c>
      <c r="C70" s="6">
        <v>400000.0</v>
      </c>
      <c r="D70" s="7">
        <v>0.9500000000000001</v>
      </c>
      <c r="E70" s="6">
        <v>289202.0</v>
      </c>
      <c r="F70" s="7">
        <v>6.0</v>
      </c>
      <c r="G70" s="7">
        <v>20.0</v>
      </c>
      <c r="H70" s="6">
        <f t="shared" si="1"/>
        <v>120000</v>
      </c>
      <c r="I70" s="6">
        <f t="shared" si="2"/>
        <v>380000</v>
      </c>
      <c r="J70" s="6">
        <f t="shared" si="3"/>
        <v>90798</v>
      </c>
      <c r="K70" s="7">
        <f t="shared" si="4"/>
        <v>1.313960484</v>
      </c>
      <c r="L70" s="6">
        <f t="shared" si="5"/>
        <v>260000</v>
      </c>
      <c r="M70" s="7">
        <f t="shared" si="6"/>
        <v>3.166666667</v>
      </c>
      <c r="N70" s="5" t="str">
        <f t="shared" si="7"/>
        <v>Under Budget</v>
      </c>
      <c r="O70" s="5" t="str">
        <f t="shared" si="8"/>
        <v>Ahead of Schedule</v>
      </c>
      <c r="P70" s="5" t="str">
        <f t="shared" si="9"/>
        <v>In Progress</v>
      </c>
      <c r="Q70" s="8">
        <f t="shared" si="10"/>
        <v>0.1805086734</v>
      </c>
    </row>
    <row r="71" ht="15.75" customHeight="1">
      <c r="A71" s="5" t="s">
        <v>96</v>
      </c>
      <c r="B71" s="5" t="s">
        <v>18</v>
      </c>
      <c r="C71" s="6">
        <v>75000.0</v>
      </c>
      <c r="D71" s="7">
        <v>0.7000000000000001</v>
      </c>
      <c r="E71" s="6">
        <v>53905.0</v>
      </c>
      <c r="F71" s="7">
        <v>4.0</v>
      </c>
      <c r="G71" s="7">
        <v>12.0</v>
      </c>
      <c r="H71" s="6">
        <f t="shared" si="1"/>
        <v>25000</v>
      </c>
      <c r="I71" s="6">
        <f t="shared" si="2"/>
        <v>52500</v>
      </c>
      <c r="J71" s="6">
        <f t="shared" si="3"/>
        <v>-1405</v>
      </c>
      <c r="K71" s="7">
        <f t="shared" si="4"/>
        <v>0.9739356275</v>
      </c>
      <c r="L71" s="6">
        <f t="shared" si="5"/>
        <v>27500</v>
      </c>
      <c r="M71" s="7">
        <f t="shared" si="6"/>
        <v>2.1</v>
      </c>
      <c r="N71" s="5" t="str">
        <f t="shared" si="7"/>
        <v>Over Budget</v>
      </c>
      <c r="O71" s="5" t="str">
        <f t="shared" si="8"/>
        <v>Ahead of Schedule</v>
      </c>
      <c r="P71" s="5" t="str">
        <f t="shared" si="9"/>
        <v>In Progress</v>
      </c>
      <c r="Q71" s="8">
        <f t="shared" si="10"/>
        <v>1.066603461</v>
      </c>
    </row>
    <row r="72" ht="15.75" customHeight="1">
      <c r="A72" s="5" t="s">
        <v>97</v>
      </c>
      <c r="B72" s="5" t="s">
        <v>33</v>
      </c>
      <c r="C72" s="6">
        <v>600000.0</v>
      </c>
      <c r="D72" s="7">
        <v>0.85</v>
      </c>
      <c r="E72" s="6">
        <v>87877.0</v>
      </c>
      <c r="F72" s="7">
        <v>3.0</v>
      </c>
      <c r="G72" s="7">
        <v>20.0</v>
      </c>
      <c r="H72" s="6">
        <f t="shared" si="1"/>
        <v>90000</v>
      </c>
      <c r="I72" s="6">
        <f t="shared" si="2"/>
        <v>510000</v>
      </c>
      <c r="J72" s="6">
        <f t="shared" si="3"/>
        <v>422123</v>
      </c>
      <c r="K72" s="7">
        <f t="shared" si="4"/>
        <v>5.803566348</v>
      </c>
      <c r="L72" s="6">
        <f t="shared" si="5"/>
        <v>420000</v>
      </c>
      <c r="M72" s="7">
        <f t="shared" si="6"/>
        <v>5.666666667</v>
      </c>
      <c r="N72" s="5" t="str">
        <f t="shared" si="7"/>
        <v>Under Budget</v>
      </c>
      <c r="O72" s="5" t="str">
        <f t="shared" si="8"/>
        <v>Ahead of Schedule</v>
      </c>
      <c r="P72" s="5" t="str">
        <f t="shared" si="9"/>
        <v>In Progress</v>
      </c>
      <c r="Q72" s="8">
        <f t="shared" si="10"/>
        <v>0.1757390314</v>
      </c>
    </row>
    <row r="73" ht="15.75" customHeight="1">
      <c r="A73" s="5" t="s">
        <v>98</v>
      </c>
      <c r="B73" s="5" t="s">
        <v>20</v>
      </c>
      <c r="C73" s="6">
        <v>130000.0</v>
      </c>
      <c r="D73" s="7">
        <v>0.98</v>
      </c>
      <c r="E73" s="6">
        <v>120205.0</v>
      </c>
      <c r="F73" s="7">
        <v>6.0</v>
      </c>
      <c r="G73" s="7">
        <v>12.0</v>
      </c>
      <c r="H73" s="6">
        <f t="shared" si="1"/>
        <v>65000</v>
      </c>
      <c r="I73" s="6">
        <f t="shared" si="2"/>
        <v>127400</v>
      </c>
      <c r="J73" s="6">
        <f t="shared" si="3"/>
        <v>7195</v>
      </c>
      <c r="K73" s="7">
        <f t="shared" si="4"/>
        <v>1.059856079</v>
      </c>
      <c r="L73" s="6">
        <f t="shared" si="5"/>
        <v>62400</v>
      </c>
      <c r="M73" s="7">
        <f t="shared" si="6"/>
        <v>1.96</v>
      </c>
      <c r="N73" s="5" t="str">
        <f t="shared" si="7"/>
        <v>Under Budget</v>
      </c>
      <c r="O73" s="5" t="str">
        <f t="shared" si="8"/>
        <v>Ahead of Schedule</v>
      </c>
      <c r="P73" s="5" t="str">
        <f t="shared" si="9"/>
        <v>In Progress</v>
      </c>
      <c r="Q73" s="8">
        <f t="shared" si="10"/>
        <v>0.2654415518</v>
      </c>
    </row>
    <row r="74" ht="15.75" customHeight="1">
      <c r="A74" s="5" t="s">
        <v>99</v>
      </c>
      <c r="B74" s="5" t="s">
        <v>39</v>
      </c>
      <c r="C74" s="6">
        <v>270000.0</v>
      </c>
      <c r="D74" s="7">
        <v>0.25</v>
      </c>
      <c r="E74" s="6">
        <v>32697.0</v>
      </c>
      <c r="F74" s="7">
        <v>9.0</v>
      </c>
      <c r="G74" s="7">
        <v>20.0</v>
      </c>
      <c r="H74" s="6">
        <f t="shared" si="1"/>
        <v>121500</v>
      </c>
      <c r="I74" s="6">
        <f t="shared" si="2"/>
        <v>67500</v>
      </c>
      <c r="J74" s="6">
        <f t="shared" si="3"/>
        <v>34803</v>
      </c>
      <c r="K74" s="7">
        <f t="shared" si="4"/>
        <v>2.064409579</v>
      </c>
      <c r="L74" s="6">
        <f t="shared" si="5"/>
        <v>-54000</v>
      </c>
      <c r="M74" s="7">
        <f t="shared" si="6"/>
        <v>0.5555555556</v>
      </c>
      <c r="N74" s="5" t="str">
        <f t="shared" si="7"/>
        <v>Under Budget</v>
      </c>
      <c r="O74" s="5" t="str">
        <f t="shared" si="8"/>
        <v>Behind Schedule</v>
      </c>
      <c r="P74" s="5" t="str">
        <f t="shared" si="9"/>
        <v>In Progress</v>
      </c>
      <c r="Q74" s="8">
        <f t="shared" si="10"/>
        <v>0.8533394015</v>
      </c>
    </row>
    <row r="75" ht="15.75" customHeight="1">
      <c r="A75" s="5" t="s">
        <v>100</v>
      </c>
      <c r="B75" s="5" t="s">
        <v>26</v>
      </c>
      <c r="C75" s="6">
        <v>95000.0</v>
      </c>
      <c r="D75" s="7">
        <v>0.23</v>
      </c>
      <c r="E75" s="6">
        <v>53417.0</v>
      </c>
      <c r="F75" s="7">
        <v>2.0</v>
      </c>
      <c r="G75" s="7">
        <v>12.0</v>
      </c>
      <c r="H75" s="6">
        <f t="shared" si="1"/>
        <v>15833.33333</v>
      </c>
      <c r="I75" s="6">
        <f t="shared" si="2"/>
        <v>21850</v>
      </c>
      <c r="J75" s="6">
        <f t="shared" si="3"/>
        <v>-31567</v>
      </c>
      <c r="K75" s="7">
        <f t="shared" si="4"/>
        <v>0.4090458094</v>
      </c>
      <c r="L75" s="6">
        <f t="shared" si="5"/>
        <v>6016.666667</v>
      </c>
      <c r="M75" s="7">
        <f t="shared" si="6"/>
        <v>1.38</v>
      </c>
      <c r="N75" s="5" t="str">
        <f t="shared" si="7"/>
        <v>Over Budget</v>
      </c>
      <c r="O75" s="5" t="str">
        <f t="shared" si="8"/>
        <v>Ahead of Schedule</v>
      </c>
      <c r="P75" s="5" t="str">
        <f t="shared" si="9"/>
        <v>In Progress</v>
      </c>
      <c r="Q75" s="8">
        <f t="shared" si="10"/>
        <v>1.759132338</v>
      </c>
    </row>
    <row r="76" ht="15.75" customHeight="1">
      <c r="A76" s="5" t="s">
        <v>101</v>
      </c>
      <c r="B76" s="5" t="s">
        <v>51</v>
      </c>
      <c r="C76" s="6">
        <v>800000.0</v>
      </c>
      <c r="D76" s="7">
        <v>0.14</v>
      </c>
      <c r="E76" s="6">
        <v>793139.0</v>
      </c>
      <c r="F76" s="7">
        <v>4.0</v>
      </c>
      <c r="G76" s="7">
        <v>20.0</v>
      </c>
      <c r="H76" s="6">
        <f t="shared" si="1"/>
        <v>160000</v>
      </c>
      <c r="I76" s="6">
        <f t="shared" si="2"/>
        <v>112000</v>
      </c>
      <c r="J76" s="6">
        <f t="shared" si="3"/>
        <v>-681139</v>
      </c>
      <c r="K76" s="7">
        <f t="shared" si="4"/>
        <v>0.1412110614</v>
      </c>
      <c r="L76" s="6">
        <f t="shared" si="5"/>
        <v>-48000</v>
      </c>
      <c r="M76" s="7">
        <f t="shared" si="6"/>
        <v>0.7</v>
      </c>
      <c r="N76" s="5" t="str">
        <f t="shared" si="7"/>
        <v>Over Budget</v>
      </c>
      <c r="O76" s="5" t="str">
        <f t="shared" si="8"/>
        <v>Behind Schedule</v>
      </c>
      <c r="P76" s="5" t="str">
        <f t="shared" si="9"/>
        <v>In Progress</v>
      </c>
      <c r="Q76" s="8">
        <f t="shared" si="10"/>
        <v>100.2769276</v>
      </c>
    </row>
    <row r="77" ht="15.75" customHeight="1">
      <c r="A77" s="5" t="s">
        <v>102</v>
      </c>
      <c r="B77" s="5" t="s">
        <v>20</v>
      </c>
      <c r="C77" s="6">
        <v>180000.0</v>
      </c>
      <c r="D77" s="7">
        <v>0.6900000000000001</v>
      </c>
      <c r="E77" s="6">
        <v>39579.0</v>
      </c>
      <c r="F77" s="7">
        <v>4.0</v>
      </c>
      <c r="G77" s="7">
        <v>12.0</v>
      </c>
      <c r="H77" s="6">
        <f t="shared" si="1"/>
        <v>60000</v>
      </c>
      <c r="I77" s="6">
        <f t="shared" si="2"/>
        <v>124200</v>
      </c>
      <c r="J77" s="6">
        <f t="shared" si="3"/>
        <v>84621</v>
      </c>
      <c r="K77" s="7">
        <f t="shared" si="4"/>
        <v>3.138027742</v>
      </c>
      <c r="L77" s="6">
        <f t="shared" si="5"/>
        <v>64200</v>
      </c>
      <c r="M77" s="7">
        <f t="shared" si="6"/>
        <v>2.07</v>
      </c>
      <c r="N77" s="5" t="str">
        <f t="shared" si="7"/>
        <v>Under Budget</v>
      </c>
      <c r="O77" s="5" t="str">
        <f t="shared" si="8"/>
        <v>Ahead of Schedule</v>
      </c>
      <c r="P77" s="5" t="str">
        <f t="shared" si="9"/>
        <v>In Progress</v>
      </c>
      <c r="Q77" s="8">
        <f t="shared" si="10"/>
        <v>0.3973764608</v>
      </c>
    </row>
    <row r="78" ht="15.75" customHeight="1">
      <c r="A78" s="5" t="s">
        <v>103</v>
      </c>
      <c r="B78" s="5" t="s">
        <v>22</v>
      </c>
      <c r="C78" s="6">
        <v>350000.0</v>
      </c>
      <c r="D78" s="7">
        <v>0.33</v>
      </c>
      <c r="E78" s="6">
        <v>143153.0</v>
      </c>
      <c r="F78" s="7">
        <v>8.0</v>
      </c>
      <c r="G78" s="7">
        <v>20.0</v>
      </c>
      <c r="H78" s="6">
        <f t="shared" si="1"/>
        <v>140000</v>
      </c>
      <c r="I78" s="6">
        <f t="shared" si="2"/>
        <v>115500</v>
      </c>
      <c r="J78" s="6">
        <f t="shared" si="3"/>
        <v>-27653</v>
      </c>
      <c r="K78" s="7">
        <f t="shared" si="4"/>
        <v>0.806829057</v>
      </c>
      <c r="L78" s="6">
        <f t="shared" si="5"/>
        <v>-24500</v>
      </c>
      <c r="M78" s="7">
        <f t="shared" si="6"/>
        <v>0.825</v>
      </c>
      <c r="N78" s="5" t="str">
        <f t="shared" si="7"/>
        <v>Over Budget</v>
      </c>
      <c r="O78" s="5" t="str">
        <f t="shared" si="8"/>
        <v>Behind Schedule</v>
      </c>
      <c r="P78" s="5" t="str">
        <f t="shared" si="9"/>
        <v>In Progress</v>
      </c>
      <c r="Q78" s="8">
        <f t="shared" si="10"/>
        <v>1.133688185</v>
      </c>
    </row>
    <row r="79" ht="15.75" customHeight="1">
      <c r="A79" s="5" t="s">
        <v>104</v>
      </c>
      <c r="B79" s="5" t="s">
        <v>26</v>
      </c>
      <c r="C79" s="6">
        <v>110000.0</v>
      </c>
      <c r="D79" s="7">
        <v>0.22</v>
      </c>
      <c r="E79" s="6">
        <v>96924.0</v>
      </c>
      <c r="F79" s="7">
        <v>3.0</v>
      </c>
      <c r="G79" s="7">
        <v>12.0</v>
      </c>
      <c r="H79" s="6">
        <f t="shared" si="1"/>
        <v>27500</v>
      </c>
      <c r="I79" s="6">
        <f t="shared" si="2"/>
        <v>24200</v>
      </c>
      <c r="J79" s="6">
        <f t="shared" si="3"/>
        <v>-72724</v>
      </c>
      <c r="K79" s="7">
        <f t="shared" si="4"/>
        <v>0.2496801618</v>
      </c>
      <c r="L79" s="6">
        <f t="shared" si="5"/>
        <v>-3300</v>
      </c>
      <c r="M79" s="7">
        <f t="shared" si="6"/>
        <v>0.88</v>
      </c>
      <c r="N79" s="5" t="str">
        <f t="shared" si="7"/>
        <v>Over Budget</v>
      </c>
      <c r="O79" s="5" t="str">
        <f t="shared" si="8"/>
        <v>Behind Schedule</v>
      </c>
      <c r="P79" s="5" t="str">
        <f t="shared" si="9"/>
        <v>In Progress</v>
      </c>
      <c r="Q79" s="8">
        <f t="shared" si="10"/>
        <v>6.561639645</v>
      </c>
    </row>
    <row r="80" ht="15.75" customHeight="1">
      <c r="A80" s="5" t="s">
        <v>105</v>
      </c>
      <c r="B80" s="5" t="s">
        <v>31</v>
      </c>
      <c r="C80" s="6">
        <v>1000000.0</v>
      </c>
      <c r="D80" s="7">
        <v>0.52</v>
      </c>
      <c r="E80" s="6">
        <v>257447.0</v>
      </c>
      <c r="F80" s="7">
        <v>5.0</v>
      </c>
      <c r="G80" s="7">
        <v>20.0</v>
      </c>
      <c r="H80" s="6">
        <f t="shared" si="1"/>
        <v>250000</v>
      </c>
      <c r="I80" s="6">
        <f t="shared" si="2"/>
        <v>520000</v>
      </c>
      <c r="J80" s="6">
        <f t="shared" si="3"/>
        <v>262553</v>
      </c>
      <c r="K80" s="7">
        <f t="shared" si="4"/>
        <v>2.019833208</v>
      </c>
      <c r="L80" s="6">
        <f t="shared" si="5"/>
        <v>270000</v>
      </c>
      <c r="M80" s="7">
        <f t="shared" si="6"/>
        <v>2.08</v>
      </c>
      <c r="N80" s="5" t="str">
        <f t="shared" si="7"/>
        <v>Under Budget</v>
      </c>
      <c r="O80" s="5" t="str">
        <f t="shared" si="8"/>
        <v>Ahead of Schedule</v>
      </c>
      <c r="P80" s="5" t="str">
        <f t="shared" si="9"/>
        <v>In Progress</v>
      </c>
      <c r="Q80" s="8">
        <f t="shared" si="10"/>
        <v>0.6464185048</v>
      </c>
    </row>
    <row r="81" ht="15.75" customHeight="1">
      <c r="A81" s="5" t="s">
        <v>106</v>
      </c>
      <c r="B81" s="5" t="s">
        <v>20</v>
      </c>
      <c r="C81" s="6">
        <v>60000.0</v>
      </c>
      <c r="D81" s="7">
        <v>0.85</v>
      </c>
      <c r="E81" s="6">
        <v>36701.0</v>
      </c>
      <c r="F81" s="7">
        <v>1.0</v>
      </c>
      <c r="G81" s="7">
        <v>6.0</v>
      </c>
      <c r="H81" s="6">
        <f t="shared" si="1"/>
        <v>10000</v>
      </c>
      <c r="I81" s="6">
        <f t="shared" si="2"/>
        <v>51000</v>
      </c>
      <c r="J81" s="6">
        <f t="shared" si="3"/>
        <v>14299</v>
      </c>
      <c r="K81" s="7">
        <f t="shared" si="4"/>
        <v>1.389607913</v>
      </c>
      <c r="L81" s="6">
        <f t="shared" si="5"/>
        <v>41000</v>
      </c>
      <c r="M81" s="7">
        <f t="shared" si="6"/>
        <v>5.1</v>
      </c>
      <c r="N81" s="5" t="str">
        <f t="shared" si="7"/>
        <v>Under Budget</v>
      </c>
      <c r="O81" s="5" t="str">
        <f t="shared" si="8"/>
        <v>Ahead of Schedule</v>
      </c>
      <c r="P81" s="5" t="str">
        <f t="shared" si="9"/>
        <v>In Progress</v>
      </c>
      <c r="Q81" s="8">
        <f t="shared" si="10"/>
        <v>0.3862826731</v>
      </c>
    </row>
    <row r="82" ht="15.75" customHeight="1">
      <c r="A82" s="5" t="s">
        <v>107</v>
      </c>
      <c r="B82" s="5" t="s">
        <v>20</v>
      </c>
      <c r="C82" s="6">
        <v>120000.0</v>
      </c>
      <c r="D82" s="7">
        <v>0.8300000000000001</v>
      </c>
      <c r="E82" s="6">
        <v>81097.0</v>
      </c>
      <c r="F82" s="7">
        <v>12.0</v>
      </c>
      <c r="G82" s="7">
        <v>18.0</v>
      </c>
      <c r="H82" s="6">
        <f t="shared" si="1"/>
        <v>80000</v>
      </c>
      <c r="I82" s="6">
        <f t="shared" si="2"/>
        <v>99600</v>
      </c>
      <c r="J82" s="6">
        <f t="shared" si="3"/>
        <v>18503</v>
      </c>
      <c r="K82" s="7">
        <f t="shared" si="4"/>
        <v>1.228158871</v>
      </c>
      <c r="L82" s="6">
        <f t="shared" si="5"/>
        <v>19600</v>
      </c>
      <c r="M82" s="7">
        <f t="shared" si="6"/>
        <v>1.245</v>
      </c>
      <c r="N82" s="5" t="str">
        <f t="shared" si="7"/>
        <v>Under Budget</v>
      </c>
      <c r="O82" s="5" t="str">
        <f t="shared" si="8"/>
        <v>Ahead of Schedule</v>
      </c>
      <c r="P82" s="5" t="str">
        <f t="shared" si="9"/>
        <v>In Progress</v>
      </c>
      <c r="Q82" s="8">
        <f t="shared" si="10"/>
        <v>0.5243811531</v>
      </c>
    </row>
    <row r="83" ht="15.75" customHeight="1">
      <c r="A83" s="5" t="s">
        <v>108</v>
      </c>
      <c r="B83" s="5" t="s">
        <v>22</v>
      </c>
      <c r="C83" s="6">
        <v>250000.0</v>
      </c>
      <c r="D83" s="7">
        <v>0.61</v>
      </c>
      <c r="E83" s="6">
        <v>78724.0</v>
      </c>
      <c r="F83" s="7">
        <v>13.0</v>
      </c>
      <c r="G83" s="7">
        <v>20.0</v>
      </c>
      <c r="H83" s="6">
        <f t="shared" si="1"/>
        <v>162500</v>
      </c>
      <c r="I83" s="6">
        <f t="shared" si="2"/>
        <v>152500</v>
      </c>
      <c r="J83" s="6">
        <f t="shared" si="3"/>
        <v>73776</v>
      </c>
      <c r="K83" s="7">
        <f t="shared" si="4"/>
        <v>1.937147503</v>
      </c>
      <c r="L83" s="6">
        <f t="shared" si="5"/>
        <v>-10000</v>
      </c>
      <c r="M83" s="7">
        <f t="shared" si="6"/>
        <v>0.9384615385</v>
      </c>
      <c r="N83" s="5" t="str">
        <f t="shared" si="7"/>
        <v>Under Budget</v>
      </c>
      <c r="O83" s="5" t="str">
        <f t="shared" si="8"/>
        <v>Behind Schedule</v>
      </c>
      <c r="P83" s="5" t="str">
        <f t="shared" si="9"/>
        <v>In Progress</v>
      </c>
      <c r="Q83" s="8">
        <f t="shared" si="10"/>
        <v>0.5692566384</v>
      </c>
    </row>
    <row r="84" ht="15.75" customHeight="1">
      <c r="A84" s="5" t="s">
        <v>109</v>
      </c>
      <c r="B84" s="5" t="s">
        <v>22</v>
      </c>
      <c r="C84" s="6">
        <v>80000.0</v>
      </c>
      <c r="D84" s="7">
        <v>0.92</v>
      </c>
      <c r="E84" s="6">
        <v>10823.0</v>
      </c>
      <c r="F84" s="7">
        <v>1.0</v>
      </c>
      <c r="G84" s="7">
        <v>14.0</v>
      </c>
      <c r="H84" s="6">
        <f t="shared" si="1"/>
        <v>5714.285714</v>
      </c>
      <c r="I84" s="6">
        <f t="shared" si="2"/>
        <v>73600</v>
      </c>
      <c r="J84" s="6">
        <f t="shared" si="3"/>
        <v>62777</v>
      </c>
      <c r="K84" s="7">
        <f t="shared" si="4"/>
        <v>6.800332625</v>
      </c>
      <c r="L84" s="6">
        <f t="shared" si="5"/>
        <v>67885.71429</v>
      </c>
      <c r="M84" s="7">
        <f t="shared" si="6"/>
        <v>12.88</v>
      </c>
      <c r="N84" s="5" t="str">
        <f t="shared" si="7"/>
        <v>Under Budget</v>
      </c>
      <c r="O84" s="5" t="str">
        <f t="shared" si="8"/>
        <v>Ahead of Schedule</v>
      </c>
      <c r="P84" s="5" t="str">
        <f t="shared" si="9"/>
        <v>In Progress</v>
      </c>
      <c r="Q84" s="8">
        <f t="shared" si="10"/>
        <v>0.09251629877</v>
      </c>
    </row>
    <row r="85" ht="15.75" customHeight="1">
      <c r="A85" s="5" t="s">
        <v>110</v>
      </c>
      <c r="B85" s="5" t="s">
        <v>26</v>
      </c>
      <c r="C85" s="6">
        <v>300000.0</v>
      </c>
      <c r="D85" s="7">
        <v>0.37</v>
      </c>
      <c r="E85" s="6">
        <v>288793.0</v>
      </c>
      <c r="F85" s="7">
        <v>17.0</v>
      </c>
      <c r="G85" s="7">
        <v>20.0</v>
      </c>
      <c r="H85" s="6">
        <f t="shared" si="1"/>
        <v>255000</v>
      </c>
      <c r="I85" s="6">
        <f t="shared" si="2"/>
        <v>111000</v>
      </c>
      <c r="J85" s="6">
        <f t="shared" si="3"/>
        <v>-177793</v>
      </c>
      <c r="K85" s="7">
        <f t="shared" si="4"/>
        <v>0.3843583466</v>
      </c>
      <c r="L85" s="6">
        <f t="shared" si="5"/>
        <v>-144000</v>
      </c>
      <c r="M85" s="7">
        <f t="shared" si="6"/>
        <v>0.4352941176</v>
      </c>
      <c r="N85" s="5" t="str">
        <f t="shared" si="7"/>
        <v>Over Budget</v>
      </c>
      <c r="O85" s="5" t="str">
        <f t="shared" si="8"/>
        <v>Behind Schedule</v>
      </c>
      <c r="P85" s="5" t="str">
        <f t="shared" si="9"/>
        <v>In Progress</v>
      </c>
      <c r="Q85" s="8">
        <f t="shared" si="10"/>
        <v>16.86445971</v>
      </c>
    </row>
    <row r="86" ht="15.75" customHeight="1">
      <c r="A86" s="5" t="s">
        <v>111</v>
      </c>
      <c r="B86" s="5" t="s">
        <v>33</v>
      </c>
      <c r="C86" s="6">
        <v>150000.0</v>
      </c>
      <c r="D86" s="7">
        <v>0.3</v>
      </c>
      <c r="E86" s="6">
        <v>137857.0</v>
      </c>
      <c r="F86" s="7">
        <v>5.0</v>
      </c>
      <c r="G86" s="7">
        <v>12.0</v>
      </c>
      <c r="H86" s="6">
        <f t="shared" si="1"/>
        <v>62500</v>
      </c>
      <c r="I86" s="6">
        <f t="shared" si="2"/>
        <v>45000</v>
      </c>
      <c r="J86" s="6">
        <f t="shared" si="3"/>
        <v>-92857</v>
      </c>
      <c r="K86" s="7">
        <f t="shared" si="4"/>
        <v>0.3264252087</v>
      </c>
      <c r="L86" s="6">
        <f t="shared" si="5"/>
        <v>-17500</v>
      </c>
      <c r="M86" s="7">
        <f t="shared" si="6"/>
        <v>0.72</v>
      </c>
      <c r="N86" s="5" t="str">
        <f t="shared" si="7"/>
        <v>Over Budget</v>
      </c>
      <c r="O86" s="5" t="str">
        <f t="shared" si="8"/>
        <v>Behind Schedule</v>
      </c>
      <c r="P86" s="5" t="str">
        <f t="shared" si="9"/>
        <v>In Progress</v>
      </c>
      <c r="Q86" s="8">
        <f t="shared" si="10"/>
        <v>8.646957095</v>
      </c>
    </row>
    <row r="87" ht="15.75" customHeight="1">
      <c r="A87" s="5" t="s">
        <v>112</v>
      </c>
      <c r="B87" s="5" t="s">
        <v>18</v>
      </c>
      <c r="C87" s="6">
        <v>500000.0</v>
      </c>
      <c r="D87" s="7">
        <v>0.56</v>
      </c>
      <c r="E87" s="6">
        <v>332597.0</v>
      </c>
      <c r="F87" s="7">
        <v>17.0</v>
      </c>
      <c r="G87" s="7">
        <v>20.0</v>
      </c>
      <c r="H87" s="6">
        <f t="shared" si="1"/>
        <v>425000</v>
      </c>
      <c r="I87" s="6">
        <f t="shared" si="2"/>
        <v>280000</v>
      </c>
      <c r="J87" s="6">
        <f t="shared" si="3"/>
        <v>-52597</v>
      </c>
      <c r="K87" s="7">
        <f t="shared" si="4"/>
        <v>0.841859668</v>
      </c>
      <c r="L87" s="6">
        <f t="shared" si="5"/>
        <v>-145000</v>
      </c>
      <c r="M87" s="7">
        <f t="shared" si="6"/>
        <v>0.6588235294</v>
      </c>
      <c r="N87" s="5" t="str">
        <f t="shared" si="7"/>
        <v>Over Budget</v>
      </c>
      <c r="O87" s="5" t="str">
        <f t="shared" si="8"/>
        <v>Behind Schedule</v>
      </c>
      <c r="P87" s="5" t="str">
        <f t="shared" si="9"/>
        <v>In Progress</v>
      </c>
      <c r="Q87" s="8">
        <f t="shared" si="10"/>
        <v>1.314193891</v>
      </c>
    </row>
    <row r="88" ht="15.75" customHeight="1">
      <c r="A88" s="5" t="s">
        <v>113</v>
      </c>
      <c r="B88" s="5" t="s">
        <v>39</v>
      </c>
      <c r="C88" s="6">
        <v>90000.0</v>
      </c>
      <c r="D88" s="7">
        <v>0.06</v>
      </c>
      <c r="E88" s="6">
        <v>16110.0</v>
      </c>
      <c r="F88" s="7">
        <v>11.0</v>
      </c>
      <c r="G88" s="7">
        <v>14.0</v>
      </c>
      <c r="H88" s="6">
        <f t="shared" si="1"/>
        <v>70714.28571</v>
      </c>
      <c r="I88" s="6">
        <f t="shared" si="2"/>
        <v>5400</v>
      </c>
      <c r="J88" s="6">
        <f t="shared" si="3"/>
        <v>-10710</v>
      </c>
      <c r="K88" s="7">
        <f t="shared" si="4"/>
        <v>0.3351955307</v>
      </c>
      <c r="L88" s="6">
        <f t="shared" si="5"/>
        <v>-65314.28571</v>
      </c>
      <c r="M88" s="7">
        <f t="shared" si="6"/>
        <v>0.07636363636</v>
      </c>
      <c r="N88" s="5" t="str">
        <f t="shared" si="7"/>
        <v>Over Budget</v>
      </c>
      <c r="O88" s="5" t="str">
        <f t="shared" si="8"/>
        <v>Behind Schedule</v>
      </c>
      <c r="P88" s="5" t="str">
        <f t="shared" si="9"/>
        <v>In Progress</v>
      </c>
      <c r="Q88" s="8">
        <f t="shared" si="10"/>
        <v>1.144945189</v>
      </c>
    </row>
    <row r="89" ht="15.75" customHeight="1">
      <c r="A89" s="5" t="s">
        <v>114</v>
      </c>
      <c r="B89" s="5" t="s">
        <v>26</v>
      </c>
      <c r="C89" s="6">
        <v>220000.0</v>
      </c>
      <c r="D89" s="7">
        <v>0.84</v>
      </c>
      <c r="E89" s="6">
        <v>60826.0</v>
      </c>
      <c r="F89" s="7">
        <v>5.0</v>
      </c>
      <c r="G89" s="7">
        <v>15.0</v>
      </c>
      <c r="H89" s="6">
        <f t="shared" si="1"/>
        <v>73333.33333</v>
      </c>
      <c r="I89" s="6">
        <f t="shared" si="2"/>
        <v>184800</v>
      </c>
      <c r="J89" s="6">
        <f t="shared" si="3"/>
        <v>123974</v>
      </c>
      <c r="K89" s="7">
        <f t="shared" si="4"/>
        <v>3.038174465</v>
      </c>
      <c r="L89" s="6">
        <f t="shared" si="5"/>
        <v>111466.6667</v>
      </c>
      <c r="M89" s="7">
        <f t="shared" si="6"/>
        <v>2.52</v>
      </c>
      <c r="N89" s="5" t="str">
        <f t="shared" si="7"/>
        <v>Under Budget</v>
      </c>
      <c r="O89" s="5" t="str">
        <f t="shared" si="8"/>
        <v>Ahead of Schedule</v>
      </c>
      <c r="P89" s="5" t="str">
        <f t="shared" si="9"/>
        <v>In Progress</v>
      </c>
      <c r="Q89" s="8">
        <f t="shared" si="10"/>
        <v>0.2211416437</v>
      </c>
    </row>
    <row r="90" ht="15.75" customHeight="1">
      <c r="A90" s="5" t="s">
        <v>115</v>
      </c>
      <c r="B90" s="5" t="s">
        <v>26</v>
      </c>
      <c r="C90" s="6">
        <v>400000.0</v>
      </c>
      <c r="D90" s="7">
        <v>0.71</v>
      </c>
      <c r="E90" s="6">
        <v>282982.0</v>
      </c>
      <c r="F90" s="7">
        <v>4.0</v>
      </c>
      <c r="G90" s="7">
        <v>20.0</v>
      </c>
      <c r="H90" s="6">
        <f t="shared" si="1"/>
        <v>80000</v>
      </c>
      <c r="I90" s="6">
        <f t="shared" si="2"/>
        <v>284000</v>
      </c>
      <c r="J90" s="6">
        <f t="shared" si="3"/>
        <v>1018</v>
      </c>
      <c r="K90" s="7">
        <f t="shared" si="4"/>
        <v>1.003597402</v>
      </c>
      <c r="L90" s="6">
        <f t="shared" si="5"/>
        <v>204000</v>
      </c>
      <c r="M90" s="7">
        <f t="shared" si="6"/>
        <v>3.55</v>
      </c>
      <c r="N90" s="5" t="str">
        <f t="shared" si="7"/>
        <v>Under Budget</v>
      </c>
      <c r="O90" s="5" t="str">
        <f t="shared" si="8"/>
        <v>Ahead of Schedule</v>
      </c>
      <c r="P90" s="5" t="str">
        <f t="shared" si="9"/>
        <v>In Progress</v>
      </c>
      <c r="Q90" s="8">
        <f t="shared" si="10"/>
        <v>0.9913004837</v>
      </c>
    </row>
    <row r="91" ht="15.75" customHeight="1">
      <c r="A91" s="5" t="s">
        <v>116</v>
      </c>
      <c r="B91" s="5" t="s">
        <v>58</v>
      </c>
      <c r="C91" s="6">
        <v>75000.0</v>
      </c>
      <c r="D91" s="7">
        <v>0.49</v>
      </c>
      <c r="E91" s="6">
        <v>14384.0</v>
      </c>
      <c r="F91" s="7">
        <v>4.0</v>
      </c>
      <c r="G91" s="7">
        <v>12.0</v>
      </c>
      <c r="H91" s="6">
        <f t="shared" si="1"/>
        <v>25000</v>
      </c>
      <c r="I91" s="6">
        <f t="shared" si="2"/>
        <v>36750</v>
      </c>
      <c r="J91" s="6">
        <f t="shared" si="3"/>
        <v>22366</v>
      </c>
      <c r="K91" s="7">
        <f t="shared" si="4"/>
        <v>2.554922136</v>
      </c>
      <c r="L91" s="6">
        <f t="shared" si="5"/>
        <v>11750</v>
      </c>
      <c r="M91" s="7">
        <f t="shared" si="6"/>
        <v>1.47</v>
      </c>
      <c r="N91" s="5" t="str">
        <f t="shared" si="7"/>
        <v>Under Budget</v>
      </c>
      <c r="O91" s="5" t="str">
        <f t="shared" si="8"/>
        <v>Ahead of Schedule</v>
      </c>
      <c r="P91" s="5" t="str">
        <f t="shared" si="9"/>
        <v>In Progress</v>
      </c>
      <c r="Q91" s="8">
        <f t="shared" si="10"/>
        <v>0.6310215125</v>
      </c>
    </row>
    <row r="92" ht="15.75" customHeight="1">
      <c r="A92" s="5" t="s">
        <v>117</v>
      </c>
      <c r="B92" s="5" t="s">
        <v>58</v>
      </c>
      <c r="C92" s="6">
        <v>600000.0</v>
      </c>
      <c r="D92" s="7">
        <v>0.75</v>
      </c>
      <c r="E92" s="6">
        <v>310719.0</v>
      </c>
      <c r="F92" s="7">
        <v>16.0</v>
      </c>
      <c r="G92" s="7">
        <v>20.0</v>
      </c>
      <c r="H92" s="6">
        <f t="shared" si="1"/>
        <v>480000</v>
      </c>
      <c r="I92" s="6">
        <f t="shared" si="2"/>
        <v>450000</v>
      </c>
      <c r="J92" s="6">
        <f t="shared" si="3"/>
        <v>139281</v>
      </c>
      <c r="K92" s="7">
        <f t="shared" si="4"/>
        <v>1.448253889</v>
      </c>
      <c r="L92" s="6">
        <f t="shared" si="5"/>
        <v>-30000</v>
      </c>
      <c r="M92" s="7">
        <f t="shared" si="6"/>
        <v>0.9375</v>
      </c>
      <c r="N92" s="5" t="str">
        <f t="shared" si="7"/>
        <v>Under Budget</v>
      </c>
      <c r="O92" s="5" t="str">
        <f t="shared" si="8"/>
        <v>Behind Schedule</v>
      </c>
      <c r="P92" s="5" t="str">
        <f t="shared" si="9"/>
        <v>In Progress</v>
      </c>
      <c r="Q92" s="8">
        <f t="shared" si="10"/>
        <v>0.5185269686</v>
      </c>
    </row>
    <row r="93" ht="15.75" customHeight="1">
      <c r="A93" s="5" t="s">
        <v>118</v>
      </c>
      <c r="B93" s="5" t="s">
        <v>18</v>
      </c>
      <c r="C93" s="6">
        <v>130000.0</v>
      </c>
      <c r="D93" s="7">
        <v>0.51</v>
      </c>
      <c r="E93" s="6">
        <v>77808.0</v>
      </c>
      <c r="F93" s="7">
        <v>1.0</v>
      </c>
      <c r="G93" s="7">
        <v>12.0</v>
      </c>
      <c r="H93" s="6">
        <f t="shared" si="1"/>
        <v>10833.33333</v>
      </c>
      <c r="I93" s="6">
        <f t="shared" si="2"/>
        <v>66300</v>
      </c>
      <c r="J93" s="6">
        <f t="shared" si="3"/>
        <v>-11508</v>
      </c>
      <c r="K93" s="7">
        <f t="shared" si="4"/>
        <v>0.8520974707</v>
      </c>
      <c r="L93" s="6">
        <f t="shared" si="5"/>
        <v>55466.66667</v>
      </c>
      <c r="M93" s="7">
        <f t="shared" si="6"/>
        <v>6.12</v>
      </c>
      <c r="N93" s="5" t="str">
        <f t="shared" si="7"/>
        <v>Over Budget</v>
      </c>
      <c r="O93" s="5" t="str">
        <f t="shared" si="8"/>
        <v>Ahead of Schedule</v>
      </c>
      <c r="P93" s="5" t="str">
        <f t="shared" si="9"/>
        <v>In Progress</v>
      </c>
      <c r="Q93" s="8">
        <f t="shared" si="10"/>
        <v>1.220493562</v>
      </c>
    </row>
    <row r="94" ht="15.75" customHeight="1">
      <c r="A94" s="5" t="s">
        <v>119</v>
      </c>
      <c r="B94" s="5" t="s">
        <v>24</v>
      </c>
      <c r="C94" s="6">
        <v>270000.0</v>
      </c>
      <c r="D94" s="7">
        <v>0.1</v>
      </c>
      <c r="E94" s="6">
        <v>140941.0</v>
      </c>
      <c r="F94" s="7">
        <v>6.0</v>
      </c>
      <c r="G94" s="7">
        <v>20.0</v>
      </c>
      <c r="H94" s="6">
        <f t="shared" si="1"/>
        <v>81000</v>
      </c>
      <c r="I94" s="6">
        <f t="shared" si="2"/>
        <v>27000</v>
      </c>
      <c r="J94" s="6">
        <f t="shared" si="3"/>
        <v>-113941</v>
      </c>
      <c r="K94" s="7">
        <f t="shared" si="4"/>
        <v>0.191569522</v>
      </c>
      <c r="L94" s="6">
        <f t="shared" si="5"/>
        <v>-54000</v>
      </c>
      <c r="M94" s="7">
        <f t="shared" si="6"/>
        <v>0.3333333333</v>
      </c>
      <c r="N94" s="5" t="str">
        <f t="shared" si="7"/>
        <v>Over Budget</v>
      </c>
      <c r="O94" s="5" t="str">
        <f t="shared" si="8"/>
        <v>Behind Schedule</v>
      </c>
      <c r="P94" s="5" t="str">
        <f t="shared" si="9"/>
        <v>In Progress</v>
      </c>
      <c r="Q94" s="8">
        <f t="shared" si="10"/>
        <v>1.882859777</v>
      </c>
    </row>
    <row r="95" ht="15.75" customHeight="1">
      <c r="A95" s="5" t="s">
        <v>120</v>
      </c>
      <c r="B95" s="5" t="s">
        <v>33</v>
      </c>
      <c r="C95" s="6">
        <v>95000.0</v>
      </c>
      <c r="D95" s="7">
        <v>0.42</v>
      </c>
      <c r="E95" s="6">
        <v>68445.0</v>
      </c>
      <c r="F95" s="7">
        <v>3.0</v>
      </c>
      <c r="G95" s="7">
        <v>12.0</v>
      </c>
      <c r="H95" s="6">
        <f t="shared" si="1"/>
        <v>23750</v>
      </c>
      <c r="I95" s="6">
        <f t="shared" si="2"/>
        <v>39900</v>
      </c>
      <c r="J95" s="6">
        <f t="shared" si="3"/>
        <v>-28545</v>
      </c>
      <c r="K95" s="7">
        <f t="shared" si="4"/>
        <v>0.5829498137</v>
      </c>
      <c r="L95" s="6">
        <f t="shared" si="5"/>
        <v>16150</v>
      </c>
      <c r="M95" s="7">
        <f t="shared" si="6"/>
        <v>1.68</v>
      </c>
      <c r="N95" s="5" t="str">
        <f t="shared" si="7"/>
        <v>Over Budget</v>
      </c>
      <c r="O95" s="5" t="str">
        <f t="shared" si="8"/>
        <v>Ahead of Schedule</v>
      </c>
      <c r="P95" s="5" t="str">
        <f t="shared" si="9"/>
        <v>In Progress</v>
      </c>
      <c r="Q95" s="8">
        <f t="shared" si="10"/>
        <v>2.074938806</v>
      </c>
    </row>
    <row r="96" ht="15.75" customHeight="1">
      <c r="A96" s="5" t="s">
        <v>121</v>
      </c>
      <c r="B96" s="5" t="s">
        <v>20</v>
      </c>
      <c r="C96" s="6">
        <v>800000.0</v>
      </c>
      <c r="D96" s="7">
        <v>0.89</v>
      </c>
      <c r="E96" s="6">
        <v>722190.0</v>
      </c>
      <c r="F96" s="7">
        <v>2.0</v>
      </c>
      <c r="G96" s="7">
        <v>20.0</v>
      </c>
      <c r="H96" s="6">
        <f t="shared" si="1"/>
        <v>80000</v>
      </c>
      <c r="I96" s="6">
        <f t="shared" si="2"/>
        <v>712000</v>
      </c>
      <c r="J96" s="6">
        <f t="shared" si="3"/>
        <v>-10190</v>
      </c>
      <c r="K96" s="7">
        <f t="shared" si="4"/>
        <v>0.9858901397</v>
      </c>
      <c r="L96" s="6">
        <f t="shared" si="5"/>
        <v>632000</v>
      </c>
      <c r="M96" s="7">
        <f t="shared" si="6"/>
        <v>8.9</v>
      </c>
      <c r="N96" s="5" t="str">
        <f t="shared" si="7"/>
        <v>Over Budget</v>
      </c>
      <c r="O96" s="5" t="str">
        <f t="shared" si="8"/>
        <v>Ahead of Schedule</v>
      </c>
      <c r="P96" s="5" t="str">
        <f t="shared" si="9"/>
        <v>In Progress</v>
      </c>
      <c r="Q96" s="8">
        <f t="shared" si="10"/>
        <v>1.130960031</v>
      </c>
    </row>
    <row r="97" ht="15.75" customHeight="1">
      <c r="A97" s="5" t="s">
        <v>122</v>
      </c>
      <c r="B97" s="5" t="s">
        <v>18</v>
      </c>
      <c r="C97" s="6">
        <v>180000.0</v>
      </c>
      <c r="D97" s="7">
        <v>0.9400000000000001</v>
      </c>
      <c r="E97" s="6">
        <v>152868.0</v>
      </c>
      <c r="F97" s="7">
        <v>6.0</v>
      </c>
      <c r="G97" s="7">
        <v>12.0</v>
      </c>
      <c r="H97" s="6">
        <f t="shared" si="1"/>
        <v>90000</v>
      </c>
      <c r="I97" s="6">
        <f t="shared" si="2"/>
        <v>169200</v>
      </c>
      <c r="J97" s="6">
        <f t="shared" si="3"/>
        <v>16332</v>
      </c>
      <c r="K97" s="7">
        <f t="shared" si="4"/>
        <v>1.106837271</v>
      </c>
      <c r="L97" s="6">
        <f t="shared" si="5"/>
        <v>79200</v>
      </c>
      <c r="M97" s="7">
        <f t="shared" si="6"/>
        <v>1.88</v>
      </c>
      <c r="N97" s="5" t="str">
        <f t="shared" si="7"/>
        <v>Under Budget</v>
      </c>
      <c r="O97" s="5" t="str">
        <f t="shared" si="8"/>
        <v>Ahead of Schedule</v>
      </c>
      <c r="P97" s="5" t="str">
        <f t="shared" si="9"/>
        <v>In Progress</v>
      </c>
      <c r="Q97" s="8">
        <f t="shared" si="10"/>
        <v>0.3980539584</v>
      </c>
    </row>
    <row r="98" ht="15.75" customHeight="1">
      <c r="A98" s="5" t="s">
        <v>123</v>
      </c>
      <c r="B98" s="5" t="s">
        <v>26</v>
      </c>
      <c r="C98" s="6">
        <v>350000.0</v>
      </c>
      <c r="D98" s="7">
        <v>0.58</v>
      </c>
      <c r="E98" s="6">
        <v>345879.0</v>
      </c>
      <c r="F98" s="7">
        <v>7.0</v>
      </c>
      <c r="G98" s="7">
        <v>20.0</v>
      </c>
      <c r="H98" s="6">
        <f t="shared" si="1"/>
        <v>122500</v>
      </c>
      <c r="I98" s="6">
        <f t="shared" si="2"/>
        <v>203000</v>
      </c>
      <c r="J98" s="6">
        <f t="shared" si="3"/>
        <v>-142879</v>
      </c>
      <c r="K98" s="7">
        <f t="shared" si="4"/>
        <v>0.5869104513</v>
      </c>
      <c r="L98" s="6">
        <f t="shared" si="5"/>
        <v>80500</v>
      </c>
      <c r="M98" s="7">
        <f t="shared" si="6"/>
        <v>1.657142857</v>
      </c>
      <c r="N98" s="5" t="str">
        <f t="shared" si="7"/>
        <v>Over Budget</v>
      </c>
      <c r="O98" s="5" t="str">
        <f t="shared" si="8"/>
        <v>Ahead of Schedule</v>
      </c>
      <c r="P98" s="5" t="str">
        <f t="shared" si="9"/>
        <v>In Progress</v>
      </c>
      <c r="Q98" s="8">
        <f t="shared" si="10"/>
        <v>35.67095365</v>
      </c>
    </row>
    <row r="99" ht="15.75" customHeight="1">
      <c r="A99" s="5" t="s">
        <v>124</v>
      </c>
      <c r="B99" s="5" t="s">
        <v>39</v>
      </c>
      <c r="C99" s="6">
        <v>110000.0</v>
      </c>
      <c r="D99" s="7">
        <v>0.11</v>
      </c>
      <c r="E99" s="6">
        <v>109703.0</v>
      </c>
      <c r="F99" s="7">
        <v>6.0</v>
      </c>
      <c r="G99" s="7">
        <v>12.0</v>
      </c>
      <c r="H99" s="6">
        <f t="shared" si="1"/>
        <v>55000</v>
      </c>
      <c r="I99" s="6">
        <f t="shared" si="2"/>
        <v>12100</v>
      </c>
      <c r="J99" s="6">
        <f t="shared" si="3"/>
        <v>-97603</v>
      </c>
      <c r="K99" s="7">
        <f t="shared" si="4"/>
        <v>0.1102978041</v>
      </c>
      <c r="L99" s="6">
        <f t="shared" si="5"/>
        <v>-42900</v>
      </c>
      <c r="M99" s="7">
        <f t="shared" si="6"/>
        <v>0.22</v>
      </c>
      <c r="N99" s="5" t="str">
        <f t="shared" si="7"/>
        <v>Over Budget</v>
      </c>
      <c r="O99" s="5" t="str">
        <f t="shared" si="8"/>
        <v>Behind Schedule</v>
      </c>
      <c r="P99" s="5" t="str">
        <f t="shared" si="9"/>
        <v>In Progress</v>
      </c>
      <c r="Q99" s="8">
        <f t="shared" si="10"/>
        <v>329.6296296</v>
      </c>
    </row>
    <row r="100" ht="15.75" customHeight="1">
      <c r="A100" s="5" t="s">
        <v>125</v>
      </c>
      <c r="B100" s="5" t="s">
        <v>24</v>
      </c>
      <c r="C100" s="6">
        <v>1000000.0</v>
      </c>
      <c r="D100" s="7">
        <v>0.28</v>
      </c>
      <c r="E100" s="6">
        <v>448834.0</v>
      </c>
      <c r="F100" s="7">
        <v>18.0</v>
      </c>
      <c r="G100" s="7">
        <v>20.0</v>
      </c>
      <c r="H100" s="6">
        <f t="shared" si="1"/>
        <v>900000</v>
      </c>
      <c r="I100" s="6">
        <f t="shared" si="2"/>
        <v>280000</v>
      </c>
      <c r="J100" s="6">
        <f t="shared" si="3"/>
        <v>-168834</v>
      </c>
      <c r="K100" s="7">
        <f t="shared" si="4"/>
        <v>0.6238386575</v>
      </c>
      <c r="L100" s="6">
        <f t="shared" si="5"/>
        <v>-620000</v>
      </c>
      <c r="M100" s="7">
        <f t="shared" si="6"/>
        <v>0.3111111111</v>
      </c>
      <c r="N100" s="5" t="str">
        <f t="shared" si="7"/>
        <v>Over Budget</v>
      </c>
      <c r="O100" s="5" t="str">
        <f t="shared" si="8"/>
        <v>Behind Schedule</v>
      </c>
      <c r="P100" s="5" t="str">
        <f t="shared" si="9"/>
        <v>In Progress</v>
      </c>
      <c r="Q100" s="8">
        <f t="shared" si="10"/>
        <v>1.306321507</v>
      </c>
    </row>
    <row r="101" ht="15.75" customHeight="1">
      <c r="A101" s="5" t="s">
        <v>126</v>
      </c>
      <c r="B101" s="5" t="s">
        <v>39</v>
      </c>
      <c r="C101" s="6">
        <v>60000.0</v>
      </c>
      <c r="D101" s="7">
        <v>0.97</v>
      </c>
      <c r="E101" s="6">
        <v>24792.0</v>
      </c>
      <c r="F101" s="7">
        <v>2.0</v>
      </c>
      <c r="G101" s="7">
        <v>6.0</v>
      </c>
      <c r="H101" s="6">
        <f t="shared" si="1"/>
        <v>20000</v>
      </c>
      <c r="I101" s="6">
        <f t="shared" si="2"/>
        <v>58200</v>
      </c>
      <c r="J101" s="6">
        <f t="shared" si="3"/>
        <v>33408</v>
      </c>
      <c r="K101" s="7">
        <f t="shared" si="4"/>
        <v>2.347531462</v>
      </c>
      <c r="L101" s="6">
        <f t="shared" si="5"/>
        <v>38200</v>
      </c>
      <c r="M101" s="7">
        <f t="shared" si="6"/>
        <v>2.91</v>
      </c>
      <c r="N101" s="5" t="str">
        <f t="shared" si="7"/>
        <v>Under Budget</v>
      </c>
      <c r="O101" s="5" t="str">
        <f t="shared" si="8"/>
        <v>Ahead of Schedule</v>
      </c>
      <c r="P101" s="5" t="str">
        <f t="shared" si="9"/>
        <v>In Progress</v>
      </c>
      <c r="Q101" s="8">
        <f t="shared" si="10"/>
        <v>0.05112474438</v>
      </c>
    </row>
    <row r="102" ht="15.75" customHeight="1">
      <c r="C102" s="9"/>
      <c r="E102" s="9"/>
    </row>
    <row r="103" ht="15.75" customHeight="1">
      <c r="C103" s="9"/>
      <c r="E103" s="9"/>
    </row>
    <row r="104" ht="15.75" customHeight="1">
      <c r="C104" s="9"/>
      <c r="E104" s="9"/>
    </row>
    <row r="105" ht="15.75" customHeight="1">
      <c r="C105" s="9"/>
      <c r="E105" s="9"/>
    </row>
    <row r="106" ht="15.75" customHeight="1">
      <c r="C106" s="9"/>
      <c r="E106" s="9"/>
    </row>
    <row r="107" ht="15.75" customHeight="1">
      <c r="C107" s="9"/>
      <c r="E107" s="9"/>
    </row>
    <row r="108" ht="15.75" customHeight="1">
      <c r="C108" s="9"/>
      <c r="E108" s="9"/>
    </row>
    <row r="109" ht="15.75" customHeight="1">
      <c r="C109" s="9"/>
      <c r="E109" s="9"/>
    </row>
    <row r="110" ht="15.75" customHeight="1">
      <c r="C110" s="9"/>
      <c r="E110" s="9"/>
    </row>
    <row r="111" ht="15.75" customHeight="1">
      <c r="C111" s="9"/>
      <c r="E111" s="9"/>
    </row>
    <row r="112" ht="15.75" customHeight="1">
      <c r="C112" s="9"/>
      <c r="E112" s="9"/>
    </row>
    <row r="113" ht="15.75" customHeight="1">
      <c r="C113" s="9"/>
      <c r="E113" s="9"/>
    </row>
    <row r="114" ht="15.75" customHeight="1">
      <c r="C114" s="9"/>
      <c r="E114" s="9"/>
    </row>
    <row r="115" ht="15.75" customHeight="1">
      <c r="C115" s="9"/>
      <c r="E115" s="9"/>
    </row>
    <row r="116" ht="15.75" customHeight="1">
      <c r="C116" s="9"/>
      <c r="E116" s="9"/>
    </row>
    <row r="117" ht="15.75" customHeight="1">
      <c r="C117" s="9"/>
      <c r="E117" s="9"/>
    </row>
    <row r="118" ht="15.75" customHeight="1">
      <c r="C118" s="9"/>
      <c r="E118" s="9"/>
    </row>
    <row r="119" ht="15.75" customHeight="1">
      <c r="C119" s="9"/>
      <c r="E119" s="9"/>
    </row>
    <row r="120" ht="15.75" customHeight="1">
      <c r="C120" s="9"/>
      <c r="E120" s="9"/>
    </row>
    <row r="121" ht="15.75" customHeight="1">
      <c r="C121" s="9"/>
      <c r="E121" s="9"/>
    </row>
    <row r="122" ht="15.75" customHeight="1">
      <c r="C122" s="9"/>
      <c r="E122" s="9"/>
    </row>
    <row r="123" ht="15.75" customHeight="1">
      <c r="C123" s="9"/>
      <c r="E123" s="9"/>
    </row>
    <row r="124" ht="15.75" customHeight="1">
      <c r="C124" s="9"/>
      <c r="E124" s="9"/>
    </row>
    <row r="125" ht="15.75" customHeight="1">
      <c r="C125" s="9"/>
      <c r="E125" s="9"/>
    </row>
    <row r="126" ht="15.75" customHeight="1">
      <c r="C126" s="9"/>
      <c r="E126" s="9"/>
    </row>
    <row r="127" ht="15.75" customHeight="1">
      <c r="C127" s="9"/>
      <c r="E127" s="9"/>
    </row>
    <row r="128" ht="15.75" customHeight="1">
      <c r="C128" s="9"/>
      <c r="E128" s="9"/>
    </row>
    <row r="129" ht="15.75" customHeight="1">
      <c r="C129" s="9"/>
      <c r="E129" s="9"/>
    </row>
    <row r="130" ht="15.75" customHeight="1">
      <c r="C130" s="9"/>
      <c r="E130" s="9"/>
    </row>
    <row r="131" ht="15.75" customHeight="1">
      <c r="C131" s="9"/>
      <c r="E131" s="9"/>
    </row>
    <row r="132" ht="15.75" customHeight="1">
      <c r="C132" s="9"/>
      <c r="E132" s="9"/>
    </row>
    <row r="133" ht="15.75" customHeight="1">
      <c r="C133" s="9"/>
      <c r="E133" s="9"/>
    </row>
    <row r="134" ht="15.75" customHeight="1">
      <c r="C134" s="9"/>
      <c r="E134" s="9"/>
    </row>
    <row r="135" ht="15.75" customHeight="1">
      <c r="C135" s="9"/>
      <c r="E135" s="9"/>
    </row>
    <row r="136" ht="15.75" customHeight="1">
      <c r="C136" s="9"/>
      <c r="E136" s="9"/>
    </row>
    <row r="137" ht="15.75" customHeight="1">
      <c r="C137" s="9"/>
      <c r="E137" s="9"/>
    </row>
    <row r="138" ht="15.75" customHeight="1">
      <c r="C138" s="9"/>
      <c r="E138" s="9"/>
    </row>
    <row r="139" ht="15.75" customHeight="1">
      <c r="C139" s="9"/>
      <c r="E139" s="9"/>
    </row>
    <row r="140" ht="15.75" customHeight="1">
      <c r="C140" s="9"/>
      <c r="E140" s="9"/>
    </row>
    <row r="141" ht="15.75" customHeight="1">
      <c r="C141" s="9"/>
      <c r="E141" s="9"/>
    </row>
    <row r="142" ht="15.75" customHeight="1">
      <c r="C142" s="9"/>
      <c r="E142" s="9"/>
    </row>
    <row r="143" ht="15.75" customHeight="1">
      <c r="C143" s="9"/>
      <c r="E143" s="9"/>
    </row>
    <row r="144" ht="15.75" customHeight="1">
      <c r="C144" s="9"/>
      <c r="E144" s="9"/>
    </row>
    <row r="145" ht="15.75" customHeight="1">
      <c r="C145" s="9"/>
      <c r="E145" s="9"/>
    </row>
    <row r="146" ht="15.75" customHeight="1">
      <c r="C146" s="9"/>
      <c r="E146" s="9"/>
    </row>
    <row r="147" ht="15.75" customHeight="1">
      <c r="C147" s="9"/>
      <c r="E147" s="9"/>
    </row>
    <row r="148" ht="15.75" customHeight="1">
      <c r="C148" s="9"/>
      <c r="E148" s="9"/>
    </row>
    <row r="149" ht="15.75" customHeight="1">
      <c r="C149" s="9"/>
      <c r="E149" s="9"/>
    </row>
    <row r="150" ht="15.75" customHeight="1">
      <c r="C150" s="9"/>
      <c r="E150" s="9"/>
    </row>
    <row r="151" ht="15.75" customHeight="1">
      <c r="C151" s="9"/>
      <c r="E151" s="9"/>
    </row>
    <row r="152" ht="15.75" customHeight="1">
      <c r="C152" s="9"/>
      <c r="E152" s="9"/>
    </row>
    <row r="153" ht="15.75" customHeight="1">
      <c r="C153" s="9"/>
      <c r="E153" s="9"/>
    </row>
    <row r="154" ht="15.75" customHeight="1">
      <c r="C154" s="9"/>
      <c r="E154" s="9"/>
    </row>
    <row r="155" ht="15.75" customHeight="1">
      <c r="C155" s="9"/>
      <c r="E155" s="9"/>
    </row>
    <row r="156" ht="15.75" customHeight="1">
      <c r="C156" s="9"/>
      <c r="E156" s="9"/>
    </row>
    <row r="157" ht="15.75" customHeight="1">
      <c r="C157" s="9"/>
      <c r="E157" s="9"/>
    </row>
    <row r="158" ht="15.75" customHeight="1">
      <c r="C158" s="9"/>
      <c r="E158" s="9"/>
    </row>
    <row r="159" ht="15.75" customHeight="1">
      <c r="C159" s="9"/>
      <c r="E159" s="9"/>
    </row>
    <row r="160" ht="15.75" customHeight="1">
      <c r="C160" s="9"/>
      <c r="E160" s="9"/>
    </row>
    <row r="161" ht="15.75" customHeight="1">
      <c r="C161" s="9"/>
      <c r="E161" s="9"/>
    </row>
    <row r="162" ht="15.75" customHeight="1">
      <c r="C162" s="9"/>
      <c r="E162" s="9"/>
    </row>
    <row r="163" ht="15.75" customHeight="1">
      <c r="C163" s="9"/>
      <c r="E163" s="9"/>
    </row>
    <row r="164" ht="15.75" customHeight="1">
      <c r="C164" s="9"/>
      <c r="E164" s="9"/>
    </row>
    <row r="165" ht="15.75" customHeight="1">
      <c r="C165" s="9"/>
      <c r="E165" s="9"/>
    </row>
    <row r="166" ht="15.75" customHeight="1">
      <c r="C166" s="9"/>
      <c r="E166" s="9"/>
    </row>
    <row r="167" ht="15.75" customHeight="1">
      <c r="C167" s="9"/>
      <c r="E167" s="9"/>
    </row>
    <row r="168" ht="15.75" customHeight="1">
      <c r="C168" s="9"/>
      <c r="E168" s="9"/>
    </row>
    <row r="169" ht="15.75" customHeight="1">
      <c r="C169" s="9"/>
      <c r="E169" s="9"/>
    </row>
    <row r="170" ht="15.75" customHeight="1">
      <c r="C170" s="9"/>
      <c r="E170" s="9"/>
    </row>
    <row r="171" ht="15.75" customHeight="1">
      <c r="C171" s="9"/>
      <c r="E171" s="9"/>
    </row>
    <row r="172" ht="15.75" customHeight="1">
      <c r="C172" s="9"/>
      <c r="E172" s="9"/>
    </row>
    <row r="173" ht="15.75" customHeight="1">
      <c r="C173" s="9"/>
      <c r="E173" s="9"/>
    </row>
    <row r="174" ht="15.75" customHeight="1">
      <c r="C174" s="9"/>
      <c r="E174" s="9"/>
    </row>
    <row r="175" ht="15.75" customHeight="1">
      <c r="C175" s="9"/>
      <c r="E175" s="9"/>
    </row>
    <row r="176" ht="15.75" customHeight="1">
      <c r="C176" s="9"/>
      <c r="E176" s="9"/>
    </row>
    <row r="177" ht="15.75" customHeight="1">
      <c r="C177" s="9"/>
      <c r="E177" s="9"/>
    </row>
    <row r="178" ht="15.75" customHeight="1">
      <c r="C178" s="9"/>
      <c r="E178" s="9"/>
    </row>
    <row r="179" ht="15.75" customHeight="1">
      <c r="C179" s="9"/>
      <c r="E179" s="9"/>
    </row>
    <row r="180" ht="15.75" customHeight="1">
      <c r="C180" s="9"/>
      <c r="E180" s="9"/>
    </row>
    <row r="181" ht="15.75" customHeight="1">
      <c r="C181" s="9"/>
      <c r="E181" s="9"/>
    </row>
    <row r="182" ht="15.75" customHeight="1">
      <c r="C182" s="9"/>
      <c r="E182" s="9"/>
    </row>
    <row r="183" ht="15.75" customHeight="1">
      <c r="C183" s="9"/>
      <c r="E183" s="9"/>
    </row>
    <row r="184" ht="15.75" customHeight="1">
      <c r="C184" s="9"/>
      <c r="E184" s="9"/>
    </row>
    <row r="185" ht="15.75" customHeight="1">
      <c r="C185" s="9"/>
      <c r="E185" s="9"/>
    </row>
    <row r="186" ht="15.75" customHeight="1">
      <c r="C186" s="9"/>
      <c r="E186" s="9"/>
    </row>
    <row r="187" ht="15.75" customHeight="1">
      <c r="C187" s="9"/>
      <c r="E187" s="9"/>
    </row>
    <row r="188" ht="15.75" customHeight="1">
      <c r="C188" s="9"/>
      <c r="E188" s="9"/>
    </row>
    <row r="189" ht="15.75" customHeight="1">
      <c r="C189" s="9"/>
      <c r="E189" s="9"/>
    </row>
    <row r="190" ht="15.75" customHeight="1">
      <c r="C190" s="9"/>
      <c r="E190" s="9"/>
    </row>
    <row r="191" ht="15.75" customHeight="1">
      <c r="C191" s="9"/>
      <c r="E191" s="9"/>
    </row>
    <row r="192" ht="15.75" customHeight="1">
      <c r="C192" s="9"/>
      <c r="E192" s="9"/>
    </row>
    <row r="193" ht="15.75" customHeight="1">
      <c r="C193" s="9"/>
      <c r="E193" s="9"/>
    </row>
    <row r="194" ht="15.75" customHeight="1">
      <c r="C194" s="9"/>
      <c r="E194" s="9"/>
    </row>
    <row r="195" ht="15.75" customHeight="1">
      <c r="C195" s="9"/>
      <c r="E195" s="9"/>
    </row>
    <row r="196" ht="15.75" customHeight="1">
      <c r="C196" s="9"/>
      <c r="E196" s="9"/>
    </row>
    <row r="197" ht="15.75" customHeight="1">
      <c r="C197" s="9"/>
      <c r="E197" s="9"/>
    </row>
    <row r="198" ht="15.75" customHeight="1">
      <c r="C198" s="9"/>
      <c r="E198" s="9"/>
    </row>
    <row r="199" ht="15.75" customHeight="1">
      <c r="C199" s="9"/>
      <c r="E199" s="9"/>
    </row>
    <row r="200" ht="15.75" customHeight="1">
      <c r="C200" s="9"/>
      <c r="E200" s="9"/>
    </row>
    <row r="201" ht="15.75" customHeight="1">
      <c r="C201" s="9"/>
      <c r="E201" s="9"/>
    </row>
    <row r="202" ht="15.75" customHeight="1">
      <c r="C202" s="9"/>
      <c r="E202" s="9"/>
    </row>
    <row r="203" ht="15.75" customHeight="1">
      <c r="C203" s="9"/>
      <c r="E203" s="9"/>
    </row>
    <row r="204" ht="15.75" customHeight="1">
      <c r="C204" s="9"/>
      <c r="E204" s="9"/>
    </row>
    <row r="205" ht="15.75" customHeight="1">
      <c r="C205" s="9"/>
      <c r="E205" s="9"/>
    </row>
    <row r="206" ht="15.75" customHeight="1">
      <c r="C206" s="9"/>
      <c r="E206" s="9"/>
    </row>
    <row r="207" ht="15.75" customHeight="1">
      <c r="C207" s="9"/>
      <c r="E207" s="9"/>
    </row>
    <row r="208" ht="15.75" customHeight="1">
      <c r="C208" s="9"/>
      <c r="E208" s="9"/>
    </row>
    <row r="209" ht="15.75" customHeight="1">
      <c r="C209" s="9"/>
      <c r="E209" s="9"/>
    </row>
    <row r="210" ht="15.75" customHeight="1">
      <c r="C210" s="9"/>
      <c r="E210" s="9"/>
    </row>
    <row r="211" ht="15.75" customHeight="1">
      <c r="C211" s="9"/>
      <c r="E211" s="9"/>
    </row>
    <row r="212" ht="15.75" customHeight="1">
      <c r="C212" s="9"/>
      <c r="E212" s="9"/>
    </row>
    <row r="213" ht="15.75" customHeight="1">
      <c r="C213" s="9"/>
      <c r="E213" s="9"/>
    </row>
    <row r="214" ht="15.75" customHeight="1">
      <c r="C214" s="9"/>
      <c r="E214" s="9"/>
    </row>
    <row r="215" ht="15.75" customHeight="1">
      <c r="C215" s="9"/>
      <c r="E215" s="9"/>
    </row>
    <row r="216" ht="15.75" customHeight="1">
      <c r="C216" s="9"/>
      <c r="E216" s="9"/>
    </row>
    <row r="217" ht="15.75" customHeight="1">
      <c r="C217" s="9"/>
      <c r="E217" s="9"/>
    </row>
    <row r="218" ht="15.75" customHeight="1">
      <c r="C218" s="9"/>
      <c r="E218" s="9"/>
    </row>
    <row r="219" ht="15.75" customHeight="1">
      <c r="C219" s="9"/>
      <c r="E219" s="9"/>
    </row>
    <row r="220" ht="15.75" customHeight="1">
      <c r="C220" s="9"/>
      <c r="E220" s="9"/>
    </row>
    <row r="221" ht="15.75" customHeight="1">
      <c r="C221" s="9"/>
      <c r="E221" s="9"/>
    </row>
    <row r="222" ht="15.75" customHeight="1">
      <c r="C222" s="9"/>
      <c r="E222" s="9"/>
    </row>
    <row r="223" ht="15.75" customHeight="1">
      <c r="C223" s="9"/>
      <c r="E223" s="9"/>
    </row>
    <row r="224" ht="15.75" customHeight="1">
      <c r="C224" s="9"/>
      <c r="E224" s="9"/>
    </row>
    <row r="225" ht="15.75" customHeight="1">
      <c r="C225" s="9"/>
      <c r="E225" s="9"/>
    </row>
    <row r="226" ht="15.75" customHeight="1">
      <c r="C226" s="9"/>
      <c r="E226" s="9"/>
    </row>
    <row r="227" ht="15.75" customHeight="1">
      <c r="C227" s="9"/>
      <c r="E227" s="9"/>
    </row>
    <row r="228" ht="15.75" customHeight="1">
      <c r="C228" s="9"/>
      <c r="E228" s="9"/>
    </row>
    <row r="229" ht="15.75" customHeight="1">
      <c r="C229" s="9"/>
      <c r="E229" s="9"/>
    </row>
    <row r="230" ht="15.75" customHeight="1">
      <c r="C230" s="9"/>
      <c r="E230" s="9"/>
    </row>
    <row r="231" ht="15.75" customHeight="1">
      <c r="C231" s="9"/>
      <c r="E231" s="9"/>
    </row>
    <row r="232" ht="15.75" customHeight="1">
      <c r="C232" s="9"/>
      <c r="E232" s="9"/>
    </row>
    <row r="233" ht="15.75" customHeight="1">
      <c r="C233" s="9"/>
      <c r="E233" s="9"/>
    </row>
    <row r="234" ht="15.75" customHeight="1">
      <c r="C234" s="9"/>
      <c r="E234" s="9"/>
    </row>
    <row r="235" ht="15.75" customHeight="1">
      <c r="C235" s="9"/>
      <c r="E235" s="9"/>
    </row>
    <row r="236" ht="15.75" customHeight="1">
      <c r="C236" s="9"/>
      <c r="E236" s="9"/>
    </row>
    <row r="237" ht="15.75" customHeight="1">
      <c r="C237" s="9"/>
      <c r="E237" s="9"/>
    </row>
    <row r="238" ht="15.75" customHeight="1">
      <c r="C238" s="9"/>
      <c r="E238" s="9"/>
    </row>
    <row r="239" ht="15.75" customHeight="1">
      <c r="C239" s="9"/>
      <c r="E239" s="9"/>
    </row>
    <row r="240" ht="15.75" customHeight="1">
      <c r="C240" s="9"/>
      <c r="E240" s="9"/>
    </row>
    <row r="241" ht="15.75" customHeight="1">
      <c r="C241" s="9"/>
      <c r="E241" s="9"/>
    </row>
    <row r="242" ht="15.75" customHeight="1">
      <c r="C242" s="9"/>
      <c r="E242" s="9"/>
    </row>
    <row r="243" ht="15.75" customHeight="1">
      <c r="C243" s="9"/>
      <c r="E243" s="9"/>
    </row>
    <row r="244" ht="15.75" customHeight="1">
      <c r="C244" s="9"/>
      <c r="E244" s="9"/>
    </row>
    <row r="245" ht="15.75" customHeight="1">
      <c r="C245" s="9"/>
      <c r="E245" s="9"/>
    </row>
    <row r="246" ht="15.75" customHeight="1">
      <c r="C246" s="9"/>
      <c r="E246" s="9"/>
    </row>
    <row r="247" ht="15.75" customHeight="1">
      <c r="C247" s="9"/>
      <c r="E247" s="9"/>
    </row>
    <row r="248" ht="15.75" customHeight="1">
      <c r="C248" s="9"/>
      <c r="E248" s="9"/>
    </row>
    <row r="249" ht="15.75" customHeight="1">
      <c r="C249" s="9"/>
      <c r="E249" s="9"/>
    </row>
    <row r="250" ht="15.75" customHeight="1">
      <c r="C250" s="9"/>
      <c r="E250" s="9"/>
    </row>
    <row r="251" ht="15.75" customHeight="1">
      <c r="C251" s="9"/>
      <c r="E251" s="9"/>
    </row>
    <row r="252" ht="15.75" customHeight="1">
      <c r="C252" s="9"/>
      <c r="E252" s="9"/>
    </row>
    <row r="253" ht="15.75" customHeight="1">
      <c r="C253" s="9"/>
      <c r="E253" s="9"/>
    </row>
    <row r="254" ht="15.75" customHeight="1">
      <c r="C254" s="9"/>
      <c r="E254" s="9"/>
    </row>
    <row r="255" ht="15.75" customHeight="1">
      <c r="C255" s="9"/>
      <c r="E255" s="9"/>
    </row>
    <row r="256" ht="15.75" customHeight="1">
      <c r="C256" s="9"/>
      <c r="E256" s="9"/>
    </row>
    <row r="257" ht="15.75" customHeight="1">
      <c r="C257" s="9"/>
      <c r="E257" s="9"/>
    </row>
    <row r="258" ht="15.75" customHeight="1">
      <c r="C258" s="9"/>
      <c r="E258" s="9"/>
    </row>
    <row r="259" ht="15.75" customHeight="1">
      <c r="C259" s="9"/>
      <c r="E259" s="9"/>
    </row>
    <row r="260" ht="15.75" customHeight="1">
      <c r="C260" s="9"/>
      <c r="E260" s="9"/>
    </row>
    <row r="261" ht="15.75" customHeight="1">
      <c r="C261" s="9"/>
      <c r="E261" s="9"/>
    </row>
    <row r="262" ht="15.75" customHeight="1">
      <c r="C262" s="9"/>
      <c r="E262" s="9"/>
    </row>
    <row r="263" ht="15.75" customHeight="1">
      <c r="C263" s="9"/>
      <c r="E263" s="9"/>
    </row>
    <row r="264" ht="15.75" customHeight="1">
      <c r="C264" s="9"/>
      <c r="E264" s="9"/>
    </row>
    <row r="265" ht="15.75" customHeight="1">
      <c r="C265" s="9"/>
      <c r="E265" s="9"/>
    </row>
    <row r="266" ht="15.75" customHeight="1">
      <c r="C266" s="9"/>
      <c r="E266" s="9"/>
    </row>
    <row r="267" ht="15.75" customHeight="1">
      <c r="C267" s="9"/>
      <c r="E267" s="9"/>
    </row>
    <row r="268" ht="15.75" customHeight="1">
      <c r="C268" s="9"/>
      <c r="E268" s="9"/>
    </row>
    <row r="269" ht="15.75" customHeight="1">
      <c r="C269" s="9"/>
      <c r="E269" s="9"/>
    </row>
    <row r="270" ht="15.75" customHeight="1">
      <c r="C270" s="9"/>
      <c r="E270" s="9"/>
    </row>
    <row r="271" ht="15.75" customHeight="1">
      <c r="C271" s="9"/>
      <c r="E271" s="9"/>
    </row>
    <row r="272" ht="15.75" customHeight="1">
      <c r="C272" s="9"/>
      <c r="E272" s="9"/>
    </row>
    <row r="273" ht="15.75" customHeight="1">
      <c r="C273" s="9"/>
      <c r="E273" s="9"/>
    </row>
    <row r="274" ht="15.75" customHeight="1">
      <c r="C274" s="9"/>
      <c r="E274" s="9"/>
    </row>
    <row r="275" ht="15.75" customHeight="1">
      <c r="C275" s="9"/>
      <c r="E275" s="9"/>
    </row>
    <row r="276" ht="15.75" customHeight="1">
      <c r="C276" s="9"/>
      <c r="E276" s="9"/>
    </row>
    <row r="277" ht="15.75" customHeight="1">
      <c r="C277" s="9"/>
      <c r="E277" s="9"/>
    </row>
    <row r="278" ht="15.75" customHeight="1">
      <c r="C278" s="9"/>
      <c r="E278" s="9"/>
    </row>
    <row r="279" ht="15.75" customHeight="1">
      <c r="C279" s="9"/>
      <c r="E279" s="9"/>
    </row>
    <row r="280" ht="15.75" customHeight="1">
      <c r="C280" s="9"/>
      <c r="E280" s="9"/>
    </row>
    <row r="281" ht="15.75" customHeight="1">
      <c r="C281" s="9"/>
      <c r="E281" s="9"/>
    </row>
    <row r="282" ht="15.75" customHeight="1">
      <c r="C282" s="9"/>
      <c r="E282" s="9"/>
    </row>
    <row r="283" ht="15.75" customHeight="1">
      <c r="C283" s="9"/>
      <c r="E283" s="9"/>
    </row>
    <row r="284" ht="15.75" customHeight="1">
      <c r="C284" s="9"/>
      <c r="E284" s="9"/>
    </row>
    <row r="285" ht="15.75" customHeight="1">
      <c r="C285" s="9"/>
      <c r="E285" s="9"/>
    </row>
    <row r="286" ht="15.75" customHeight="1">
      <c r="C286" s="9"/>
      <c r="E286" s="9"/>
    </row>
    <row r="287" ht="15.75" customHeight="1">
      <c r="C287" s="9"/>
      <c r="E287" s="9"/>
    </row>
    <row r="288" ht="15.75" customHeight="1">
      <c r="C288" s="9"/>
      <c r="E288" s="9"/>
    </row>
    <row r="289" ht="15.75" customHeight="1">
      <c r="C289" s="9"/>
      <c r="E289" s="9"/>
    </row>
    <row r="290" ht="15.75" customHeight="1">
      <c r="C290" s="9"/>
      <c r="E290" s="9"/>
    </row>
    <row r="291" ht="15.75" customHeight="1">
      <c r="C291" s="9"/>
      <c r="E291" s="9"/>
    </row>
    <row r="292" ht="15.75" customHeight="1">
      <c r="C292" s="9"/>
      <c r="E292" s="9"/>
    </row>
    <row r="293" ht="15.75" customHeight="1">
      <c r="C293" s="9"/>
      <c r="E293" s="9"/>
    </row>
    <row r="294" ht="15.75" customHeight="1">
      <c r="C294" s="9"/>
      <c r="E294" s="9"/>
    </row>
    <row r="295" ht="15.75" customHeight="1">
      <c r="C295" s="9"/>
      <c r="E295" s="9"/>
    </row>
    <row r="296" ht="15.75" customHeight="1">
      <c r="C296" s="9"/>
      <c r="E296" s="9"/>
    </row>
    <row r="297" ht="15.75" customHeight="1">
      <c r="C297" s="9"/>
      <c r="E297" s="9"/>
    </row>
    <row r="298" ht="15.75" customHeight="1">
      <c r="C298" s="9"/>
      <c r="E298" s="9"/>
    </row>
    <row r="299" ht="15.75" customHeight="1">
      <c r="C299" s="9"/>
      <c r="E299" s="9"/>
    </row>
    <row r="300" ht="15.75" customHeight="1">
      <c r="C300" s="9"/>
      <c r="E300" s="9"/>
    </row>
    <row r="301" ht="15.75" customHeight="1">
      <c r="C301" s="9"/>
      <c r="E301" s="9"/>
    </row>
    <row r="302" ht="15.75" customHeight="1">
      <c r="C302" s="9"/>
      <c r="E302" s="9"/>
    </row>
    <row r="303" ht="15.75" customHeight="1">
      <c r="C303" s="9"/>
      <c r="E303" s="9"/>
    </row>
    <row r="304" ht="15.75" customHeight="1">
      <c r="C304" s="9"/>
      <c r="E304" s="9"/>
    </row>
    <row r="305" ht="15.75" customHeight="1">
      <c r="C305" s="9"/>
      <c r="E305" s="9"/>
    </row>
    <row r="306" ht="15.75" customHeight="1">
      <c r="C306" s="9"/>
      <c r="E306" s="9"/>
    </row>
    <row r="307" ht="15.75" customHeight="1">
      <c r="C307" s="9"/>
      <c r="E307" s="9"/>
    </row>
    <row r="308" ht="15.75" customHeight="1">
      <c r="C308" s="9"/>
      <c r="E308" s="9"/>
    </row>
    <row r="309" ht="15.75" customHeight="1">
      <c r="C309" s="9"/>
      <c r="E309" s="9"/>
    </row>
    <row r="310" ht="15.75" customHeight="1">
      <c r="C310" s="9"/>
      <c r="E310" s="9"/>
    </row>
    <row r="311" ht="15.75" customHeight="1">
      <c r="C311" s="9"/>
      <c r="E311" s="9"/>
    </row>
    <row r="312" ht="15.75" customHeight="1">
      <c r="C312" s="9"/>
      <c r="E312" s="9"/>
    </row>
    <row r="313" ht="15.75" customHeight="1">
      <c r="C313" s="9"/>
      <c r="E313" s="9"/>
    </row>
    <row r="314" ht="15.75" customHeight="1">
      <c r="C314" s="9"/>
      <c r="E314" s="9"/>
    </row>
    <row r="315" ht="15.75" customHeight="1">
      <c r="C315" s="9"/>
      <c r="E315" s="9"/>
    </row>
    <row r="316" ht="15.75" customHeight="1">
      <c r="C316" s="9"/>
      <c r="E316" s="9"/>
    </row>
    <row r="317" ht="15.75" customHeight="1">
      <c r="C317" s="9"/>
      <c r="E317" s="9"/>
    </row>
    <row r="318" ht="15.75" customHeight="1">
      <c r="C318" s="9"/>
      <c r="E318" s="9"/>
    </row>
    <row r="319" ht="15.75" customHeight="1">
      <c r="C319" s="9"/>
      <c r="E319" s="9"/>
    </row>
    <row r="320" ht="15.75" customHeight="1">
      <c r="C320" s="9"/>
      <c r="E320" s="9"/>
    </row>
    <row r="321" ht="15.75" customHeight="1">
      <c r="C321" s="9"/>
      <c r="E321" s="9"/>
    </row>
    <row r="322" ht="15.75" customHeight="1">
      <c r="C322" s="9"/>
      <c r="E322" s="9"/>
    </row>
    <row r="323" ht="15.75" customHeight="1">
      <c r="C323" s="9"/>
      <c r="E323" s="9"/>
    </row>
    <row r="324" ht="15.75" customHeight="1">
      <c r="C324" s="9"/>
      <c r="E324" s="9"/>
    </row>
    <row r="325" ht="15.75" customHeight="1">
      <c r="C325" s="9"/>
      <c r="E325" s="9"/>
    </row>
    <row r="326" ht="15.75" customHeight="1">
      <c r="C326" s="9"/>
      <c r="E326" s="9"/>
    </row>
    <row r="327" ht="15.75" customHeight="1">
      <c r="C327" s="9"/>
      <c r="E327" s="9"/>
    </row>
    <row r="328" ht="15.75" customHeight="1">
      <c r="C328" s="9"/>
      <c r="E328" s="9"/>
    </row>
    <row r="329" ht="15.75" customHeight="1">
      <c r="C329" s="9"/>
      <c r="E329" s="9"/>
    </row>
    <row r="330" ht="15.75" customHeight="1">
      <c r="C330" s="9"/>
      <c r="E330" s="9"/>
    </row>
    <row r="331" ht="15.75" customHeight="1">
      <c r="C331" s="9"/>
      <c r="E331" s="9"/>
    </row>
    <row r="332" ht="15.75" customHeight="1">
      <c r="C332" s="9"/>
      <c r="E332" s="9"/>
    </row>
    <row r="333" ht="15.75" customHeight="1">
      <c r="C333" s="9"/>
      <c r="E333" s="9"/>
    </row>
    <row r="334" ht="15.75" customHeight="1">
      <c r="C334" s="9"/>
      <c r="E334" s="9"/>
    </row>
    <row r="335" ht="15.75" customHeight="1">
      <c r="C335" s="9"/>
      <c r="E335" s="9"/>
    </row>
    <row r="336" ht="15.75" customHeight="1">
      <c r="C336" s="9"/>
      <c r="E336" s="9"/>
    </row>
    <row r="337" ht="15.75" customHeight="1">
      <c r="C337" s="9"/>
      <c r="E337" s="9"/>
    </row>
    <row r="338" ht="15.75" customHeight="1">
      <c r="C338" s="9"/>
      <c r="E338" s="9"/>
    </row>
    <row r="339" ht="15.75" customHeight="1">
      <c r="C339" s="9"/>
      <c r="E339" s="9"/>
    </row>
    <row r="340" ht="15.75" customHeight="1">
      <c r="C340" s="9"/>
      <c r="E340" s="9"/>
    </row>
    <row r="341" ht="15.75" customHeight="1">
      <c r="C341" s="9"/>
      <c r="E341" s="9"/>
    </row>
    <row r="342" ht="15.75" customHeight="1">
      <c r="C342" s="9"/>
      <c r="E342" s="9"/>
    </row>
    <row r="343" ht="15.75" customHeight="1">
      <c r="C343" s="9"/>
      <c r="E343" s="9"/>
    </row>
    <row r="344" ht="15.75" customHeight="1">
      <c r="C344" s="9"/>
      <c r="E344" s="9"/>
    </row>
    <row r="345" ht="15.75" customHeight="1">
      <c r="C345" s="9"/>
      <c r="E345" s="9"/>
    </row>
    <row r="346" ht="15.75" customHeight="1">
      <c r="C346" s="9"/>
      <c r="E346" s="9"/>
    </row>
    <row r="347" ht="15.75" customHeight="1">
      <c r="C347" s="9"/>
      <c r="E347" s="9"/>
    </row>
    <row r="348" ht="15.75" customHeight="1">
      <c r="C348" s="9"/>
      <c r="E348" s="9"/>
    </row>
    <row r="349" ht="15.75" customHeight="1">
      <c r="C349" s="9"/>
      <c r="E349" s="9"/>
    </row>
    <row r="350" ht="15.75" customHeight="1">
      <c r="C350" s="9"/>
      <c r="E350" s="9"/>
    </row>
    <row r="351" ht="15.75" customHeight="1">
      <c r="C351" s="9"/>
      <c r="E351" s="9"/>
    </row>
    <row r="352" ht="15.75" customHeight="1">
      <c r="C352" s="9"/>
      <c r="E352" s="9"/>
    </row>
    <row r="353" ht="15.75" customHeight="1">
      <c r="C353" s="9"/>
      <c r="E353" s="9"/>
    </row>
    <row r="354" ht="15.75" customHeight="1">
      <c r="C354" s="9"/>
      <c r="E354" s="9"/>
    </row>
    <row r="355" ht="15.75" customHeight="1">
      <c r="C355" s="9"/>
      <c r="E355" s="9"/>
    </row>
    <row r="356" ht="15.75" customHeight="1">
      <c r="C356" s="9"/>
      <c r="E356" s="9"/>
    </row>
    <row r="357" ht="15.75" customHeight="1">
      <c r="C357" s="9"/>
      <c r="E357" s="9"/>
    </row>
    <row r="358" ht="15.75" customHeight="1">
      <c r="C358" s="9"/>
      <c r="E358" s="9"/>
    </row>
    <row r="359" ht="15.75" customHeight="1">
      <c r="C359" s="9"/>
      <c r="E359" s="9"/>
    </row>
    <row r="360" ht="15.75" customHeight="1">
      <c r="C360" s="9"/>
      <c r="E360" s="9"/>
    </row>
    <row r="361" ht="15.75" customHeight="1">
      <c r="C361" s="9"/>
      <c r="E361" s="9"/>
    </row>
    <row r="362" ht="15.75" customHeight="1">
      <c r="C362" s="9"/>
      <c r="E362" s="9"/>
    </row>
    <row r="363" ht="15.75" customHeight="1">
      <c r="C363" s="9"/>
      <c r="E363" s="9"/>
    </row>
    <row r="364" ht="15.75" customHeight="1">
      <c r="C364" s="9"/>
      <c r="E364" s="9"/>
    </row>
    <row r="365" ht="15.75" customHeight="1">
      <c r="C365" s="9"/>
      <c r="E365" s="9"/>
    </row>
    <row r="366" ht="15.75" customHeight="1">
      <c r="C366" s="9"/>
      <c r="E366" s="9"/>
    </row>
    <row r="367" ht="15.75" customHeight="1">
      <c r="C367" s="9"/>
      <c r="E367" s="9"/>
    </row>
    <row r="368" ht="15.75" customHeight="1">
      <c r="C368" s="9"/>
      <c r="E368" s="9"/>
    </row>
    <row r="369" ht="15.75" customHeight="1">
      <c r="C369" s="9"/>
      <c r="E369" s="9"/>
    </row>
    <row r="370" ht="15.75" customHeight="1">
      <c r="C370" s="9"/>
      <c r="E370" s="9"/>
    </row>
    <row r="371" ht="15.75" customHeight="1">
      <c r="C371" s="9"/>
      <c r="E371" s="9"/>
    </row>
    <row r="372" ht="15.75" customHeight="1">
      <c r="C372" s="9"/>
      <c r="E372" s="9"/>
    </row>
    <row r="373" ht="15.75" customHeight="1">
      <c r="C373" s="9"/>
      <c r="E373" s="9"/>
    </row>
    <row r="374" ht="15.75" customHeight="1">
      <c r="C374" s="9"/>
      <c r="E374" s="9"/>
    </row>
    <row r="375" ht="15.75" customHeight="1">
      <c r="C375" s="9"/>
      <c r="E375" s="9"/>
    </row>
    <row r="376" ht="15.75" customHeight="1">
      <c r="C376" s="9"/>
      <c r="E376" s="9"/>
    </row>
    <row r="377" ht="15.75" customHeight="1">
      <c r="C377" s="9"/>
      <c r="E377" s="9"/>
    </row>
    <row r="378" ht="15.75" customHeight="1">
      <c r="C378" s="9"/>
      <c r="E378" s="9"/>
    </row>
    <row r="379" ht="15.75" customHeight="1">
      <c r="C379" s="9"/>
      <c r="E379" s="9"/>
    </row>
    <row r="380" ht="15.75" customHeight="1">
      <c r="C380" s="9"/>
      <c r="E380" s="9"/>
    </row>
    <row r="381" ht="15.75" customHeight="1">
      <c r="C381" s="9"/>
      <c r="E381" s="9"/>
    </row>
    <row r="382" ht="15.75" customHeight="1">
      <c r="C382" s="9"/>
      <c r="E382" s="9"/>
    </row>
    <row r="383" ht="15.75" customHeight="1">
      <c r="C383" s="9"/>
      <c r="E383" s="9"/>
    </row>
    <row r="384" ht="15.75" customHeight="1">
      <c r="C384" s="9"/>
      <c r="E384" s="9"/>
    </row>
    <row r="385" ht="15.75" customHeight="1">
      <c r="C385" s="9"/>
      <c r="E385" s="9"/>
    </row>
    <row r="386" ht="15.75" customHeight="1">
      <c r="C386" s="9"/>
      <c r="E386" s="9"/>
    </row>
    <row r="387" ht="15.75" customHeight="1">
      <c r="C387" s="9"/>
      <c r="E387" s="9"/>
    </row>
    <row r="388" ht="15.75" customHeight="1">
      <c r="C388" s="9"/>
      <c r="E388" s="9"/>
    </row>
    <row r="389" ht="15.75" customHeight="1">
      <c r="C389" s="9"/>
      <c r="E389" s="9"/>
    </row>
    <row r="390" ht="15.75" customHeight="1">
      <c r="C390" s="9"/>
      <c r="E390" s="9"/>
    </row>
    <row r="391" ht="15.75" customHeight="1">
      <c r="C391" s="9"/>
      <c r="E391" s="9"/>
    </row>
    <row r="392" ht="15.75" customHeight="1">
      <c r="C392" s="9"/>
      <c r="E392" s="9"/>
    </row>
    <row r="393" ht="15.75" customHeight="1">
      <c r="C393" s="9"/>
      <c r="E393" s="9"/>
    </row>
    <row r="394" ht="15.75" customHeight="1">
      <c r="C394" s="9"/>
      <c r="E394" s="9"/>
    </row>
    <row r="395" ht="15.75" customHeight="1">
      <c r="C395" s="9"/>
      <c r="E395" s="9"/>
    </row>
    <row r="396" ht="15.75" customHeight="1">
      <c r="C396" s="9"/>
      <c r="E396" s="9"/>
    </row>
    <row r="397" ht="15.75" customHeight="1">
      <c r="C397" s="9"/>
      <c r="E397" s="9"/>
    </row>
    <row r="398" ht="15.75" customHeight="1">
      <c r="C398" s="9"/>
      <c r="E398" s="9"/>
    </row>
    <row r="399" ht="15.75" customHeight="1">
      <c r="C399" s="9"/>
      <c r="E399" s="9"/>
    </row>
    <row r="400" ht="15.75" customHeight="1">
      <c r="C400" s="9"/>
      <c r="E400" s="9"/>
    </row>
    <row r="401" ht="15.75" customHeight="1">
      <c r="C401" s="9"/>
      <c r="E401" s="9"/>
    </row>
    <row r="402" ht="15.75" customHeight="1">
      <c r="C402" s="9"/>
      <c r="E402" s="9"/>
    </row>
    <row r="403" ht="15.75" customHeight="1">
      <c r="C403" s="9"/>
      <c r="E403" s="9"/>
    </row>
    <row r="404" ht="15.75" customHeight="1">
      <c r="C404" s="9"/>
      <c r="E404" s="9"/>
    </row>
    <row r="405" ht="15.75" customHeight="1">
      <c r="C405" s="9"/>
      <c r="E405" s="9"/>
    </row>
    <row r="406" ht="15.75" customHeight="1">
      <c r="C406" s="9"/>
      <c r="E406" s="9"/>
    </row>
    <row r="407" ht="15.75" customHeight="1">
      <c r="C407" s="9"/>
      <c r="E407" s="9"/>
    </row>
    <row r="408" ht="15.75" customHeight="1">
      <c r="C408" s="9"/>
      <c r="E408" s="9"/>
    </row>
    <row r="409" ht="15.75" customHeight="1">
      <c r="C409" s="9"/>
      <c r="E409" s="9"/>
    </row>
    <row r="410" ht="15.75" customHeight="1">
      <c r="C410" s="9"/>
      <c r="E410" s="9"/>
    </row>
    <row r="411" ht="15.75" customHeight="1">
      <c r="C411" s="9"/>
      <c r="E411" s="9"/>
    </row>
    <row r="412" ht="15.75" customHeight="1">
      <c r="C412" s="9"/>
      <c r="E412" s="9"/>
    </row>
    <row r="413" ht="15.75" customHeight="1">
      <c r="C413" s="9"/>
      <c r="E413" s="9"/>
    </row>
    <row r="414" ht="15.75" customHeight="1">
      <c r="C414" s="9"/>
      <c r="E414" s="9"/>
    </row>
    <row r="415" ht="15.75" customHeight="1">
      <c r="C415" s="9"/>
      <c r="E415" s="9"/>
    </row>
    <row r="416" ht="15.75" customHeight="1">
      <c r="C416" s="9"/>
      <c r="E416" s="9"/>
    </row>
    <row r="417" ht="15.75" customHeight="1">
      <c r="C417" s="9"/>
      <c r="E417" s="9"/>
    </row>
    <row r="418" ht="15.75" customHeight="1">
      <c r="C418" s="9"/>
      <c r="E418" s="9"/>
    </row>
    <row r="419" ht="15.75" customHeight="1">
      <c r="C419" s="9"/>
      <c r="E419" s="9"/>
    </row>
    <row r="420" ht="15.75" customHeight="1">
      <c r="C420" s="9"/>
      <c r="E420" s="9"/>
    </row>
    <row r="421" ht="15.75" customHeight="1">
      <c r="C421" s="9"/>
      <c r="E421" s="9"/>
    </row>
    <row r="422" ht="15.75" customHeight="1">
      <c r="C422" s="9"/>
      <c r="E422" s="9"/>
    </row>
    <row r="423" ht="15.75" customHeight="1">
      <c r="C423" s="9"/>
      <c r="E423" s="9"/>
    </row>
    <row r="424" ht="15.75" customHeight="1">
      <c r="C424" s="9"/>
      <c r="E424" s="9"/>
    </row>
    <row r="425" ht="15.75" customHeight="1">
      <c r="C425" s="9"/>
      <c r="E425" s="9"/>
    </row>
    <row r="426" ht="15.75" customHeight="1">
      <c r="C426" s="9"/>
      <c r="E426" s="9"/>
    </row>
    <row r="427" ht="15.75" customHeight="1">
      <c r="C427" s="9"/>
      <c r="E427" s="9"/>
    </row>
    <row r="428" ht="15.75" customHeight="1">
      <c r="C428" s="9"/>
      <c r="E428" s="9"/>
    </row>
    <row r="429" ht="15.75" customHeight="1">
      <c r="C429" s="9"/>
      <c r="E429" s="9"/>
    </row>
    <row r="430" ht="15.75" customHeight="1">
      <c r="C430" s="9"/>
      <c r="E430" s="9"/>
    </row>
    <row r="431" ht="15.75" customHeight="1">
      <c r="C431" s="9"/>
      <c r="E431" s="9"/>
    </row>
    <row r="432" ht="15.75" customHeight="1">
      <c r="C432" s="9"/>
      <c r="E432" s="9"/>
    </row>
    <row r="433" ht="15.75" customHeight="1">
      <c r="C433" s="9"/>
      <c r="E433" s="9"/>
    </row>
    <row r="434" ht="15.75" customHeight="1">
      <c r="C434" s="9"/>
      <c r="E434" s="9"/>
    </row>
    <row r="435" ht="15.75" customHeight="1">
      <c r="C435" s="9"/>
      <c r="E435" s="9"/>
    </row>
    <row r="436" ht="15.75" customHeight="1">
      <c r="C436" s="9"/>
      <c r="E436" s="9"/>
    </row>
    <row r="437" ht="15.75" customHeight="1">
      <c r="C437" s="9"/>
      <c r="E437" s="9"/>
    </row>
    <row r="438" ht="15.75" customHeight="1">
      <c r="C438" s="9"/>
      <c r="E438" s="9"/>
    </row>
    <row r="439" ht="15.75" customHeight="1">
      <c r="C439" s="9"/>
      <c r="E439" s="9"/>
    </row>
    <row r="440" ht="15.75" customHeight="1">
      <c r="C440" s="9"/>
      <c r="E440" s="9"/>
    </row>
    <row r="441" ht="15.75" customHeight="1">
      <c r="C441" s="9"/>
      <c r="E441" s="9"/>
    </row>
    <row r="442" ht="15.75" customHeight="1">
      <c r="C442" s="9"/>
      <c r="E442" s="9"/>
    </row>
    <row r="443" ht="15.75" customHeight="1">
      <c r="C443" s="9"/>
      <c r="E443" s="9"/>
    </row>
    <row r="444" ht="15.75" customHeight="1">
      <c r="C444" s="9"/>
      <c r="E444" s="9"/>
    </row>
    <row r="445" ht="15.75" customHeight="1">
      <c r="C445" s="9"/>
      <c r="E445" s="9"/>
    </row>
    <row r="446" ht="15.75" customHeight="1">
      <c r="C446" s="9"/>
      <c r="E446" s="9"/>
    </row>
    <row r="447" ht="15.75" customHeight="1">
      <c r="C447" s="9"/>
      <c r="E447" s="9"/>
    </row>
    <row r="448" ht="15.75" customHeight="1">
      <c r="C448" s="9"/>
      <c r="E448" s="9"/>
    </row>
    <row r="449" ht="15.75" customHeight="1">
      <c r="C449" s="9"/>
      <c r="E449" s="9"/>
    </row>
    <row r="450" ht="15.75" customHeight="1">
      <c r="C450" s="9"/>
      <c r="E450" s="9"/>
    </row>
    <row r="451" ht="15.75" customHeight="1">
      <c r="C451" s="9"/>
      <c r="E451" s="9"/>
    </row>
    <row r="452" ht="15.75" customHeight="1">
      <c r="C452" s="9"/>
      <c r="E452" s="9"/>
    </row>
    <row r="453" ht="15.75" customHeight="1">
      <c r="C453" s="9"/>
      <c r="E453" s="9"/>
    </row>
    <row r="454" ht="15.75" customHeight="1">
      <c r="C454" s="9"/>
      <c r="E454" s="9"/>
    </row>
    <row r="455" ht="15.75" customHeight="1">
      <c r="C455" s="9"/>
      <c r="E455" s="9"/>
    </row>
    <row r="456" ht="15.75" customHeight="1">
      <c r="C456" s="9"/>
      <c r="E456" s="9"/>
    </row>
    <row r="457" ht="15.75" customHeight="1">
      <c r="C457" s="9"/>
      <c r="E457" s="9"/>
    </row>
    <row r="458" ht="15.75" customHeight="1">
      <c r="C458" s="9"/>
      <c r="E458" s="9"/>
    </row>
    <row r="459" ht="15.75" customHeight="1">
      <c r="C459" s="9"/>
      <c r="E459" s="9"/>
    </row>
    <row r="460" ht="15.75" customHeight="1">
      <c r="C460" s="9"/>
      <c r="E460" s="9"/>
    </row>
    <row r="461" ht="15.75" customHeight="1">
      <c r="C461" s="9"/>
      <c r="E461" s="9"/>
    </row>
    <row r="462" ht="15.75" customHeight="1">
      <c r="C462" s="9"/>
      <c r="E462" s="9"/>
    </row>
    <row r="463" ht="15.75" customHeight="1">
      <c r="C463" s="9"/>
      <c r="E463" s="9"/>
    </row>
    <row r="464" ht="15.75" customHeight="1">
      <c r="C464" s="9"/>
      <c r="E464" s="9"/>
    </row>
    <row r="465" ht="15.75" customHeight="1">
      <c r="C465" s="9"/>
      <c r="E465" s="9"/>
    </row>
    <row r="466" ht="15.75" customHeight="1">
      <c r="C466" s="9"/>
      <c r="E466" s="9"/>
    </row>
    <row r="467" ht="15.75" customHeight="1">
      <c r="C467" s="9"/>
      <c r="E467" s="9"/>
    </row>
    <row r="468" ht="15.75" customHeight="1">
      <c r="C468" s="9"/>
      <c r="E468" s="9"/>
    </row>
    <row r="469" ht="15.75" customHeight="1">
      <c r="C469" s="9"/>
      <c r="E469" s="9"/>
    </row>
    <row r="470" ht="15.75" customHeight="1">
      <c r="C470" s="9"/>
      <c r="E470" s="9"/>
    </row>
    <row r="471" ht="15.75" customHeight="1">
      <c r="C471" s="9"/>
      <c r="E471" s="9"/>
    </row>
    <row r="472" ht="15.75" customHeight="1">
      <c r="C472" s="9"/>
      <c r="E472" s="9"/>
    </row>
    <row r="473" ht="15.75" customHeight="1">
      <c r="C473" s="9"/>
      <c r="E473" s="9"/>
    </row>
    <row r="474" ht="15.75" customHeight="1">
      <c r="C474" s="9"/>
      <c r="E474" s="9"/>
    </row>
    <row r="475" ht="15.75" customHeight="1">
      <c r="C475" s="9"/>
      <c r="E475" s="9"/>
    </row>
    <row r="476" ht="15.75" customHeight="1">
      <c r="C476" s="9"/>
      <c r="E476" s="9"/>
    </row>
    <row r="477" ht="15.75" customHeight="1">
      <c r="C477" s="9"/>
      <c r="E477" s="9"/>
    </row>
    <row r="478" ht="15.75" customHeight="1">
      <c r="C478" s="9"/>
      <c r="E478" s="9"/>
    </row>
    <row r="479" ht="15.75" customHeight="1">
      <c r="C479" s="9"/>
      <c r="E479" s="9"/>
    </row>
    <row r="480" ht="15.75" customHeight="1">
      <c r="C480" s="9"/>
      <c r="E480" s="9"/>
    </row>
    <row r="481" ht="15.75" customHeight="1">
      <c r="C481" s="9"/>
      <c r="E481" s="9"/>
    </row>
    <row r="482" ht="15.75" customHeight="1">
      <c r="C482" s="9"/>
      <c r="E482" s="9"/>
    </row>
    <row r="483" ht="15.75" customHeight="1">
      <c r="C483" s="9"/>
      <c r="E483" s="9"/>
    </row>
    <row r="484" ht="15.75" customHeight="1">
      <c r="C484" s="9"/>
      <c r="E484" s="9"/>
    </row>
    <row r="485" ht="15.75" customHeight="1">
      <c r="C485" s="9"/>
      <c r="E485" s="9"/>
    </row>
    <row r="486" ht="15.75" customHeight="1">
      <c r="C486" s="9"/>
      <c r="E486" s="9"/>
    </row>
    <row r="487" ht="15.75" customHeight="1">
      <c r="C487" s="9"/>
      <c r="E487" s="9"/>
    </row>
    <row r="488" ht="15.75" customHeight="1">
      <c r="C488" s="9"/>
      <c r="E488" s="9"/>
    </row>
    <row r="489" ht="15.75" customHeight="1">
      <c r="C489" s="9"/>
      <c r="E489" s="9"/>
    </row>
    <row r="490" ht="15.75" customHeight="1">
      <c r="C490" s="9"/>
      <c r="E490" s="9"/>
    </row>
    <row r="491" ht="15.75" customHeight="1">
      <c r="C491" s="9"/>
      <c r="E491" s="9"/>
    </row>
    <row r="492" ht="15.75" customHeight="1">
      <c r="C492" s="9"/>
      <c r="E492" s="9"/>
    </row>
    <row r="493" ht="15.75" customHeight="1">
      <c r="C493" s="9"/>
      <c r="E493" s="9"/>
    </row>
    <row r="494" ht="15.75" customHeight="1">
      <c r="C494" s="9"/>
      <c r="E494" s="9"/>
    </row>
    <row r="495" ht="15.75" customHeight="1">
      <c r="C495" s="9"/>
      <c r="E495" s="9"/>
    </row>
    <row r="496" ht="15.75" customHeight="1">
      <c r="C496" s="9"/>
      <c r="E496" s="9"/>
    </row>
    <row r="497" ht="15.75" customHeight="1">
      <c r="C497" s="9"/>
      <c r="E497" s="9"/>
    </row>
    <row r="498" ht="15.75" customHeight="1">
      <c r="C498" s="9"/>
      <c r="E498" s="9"/>
    </row>
    <row r="499" ht="15.75" customHeight="1">
      <c r="C499" s="9"/>
      <c r="E499" s="9"/>
    </row>
    <row r="500" ht="15.75" customHeight="1">
      <c r="C500" s="9"/>
      <c r="E500" s="9"/>
    </row>
    <row r="501" ht="15.75" customHeight="1">
      <c r="C501" s="9"/>
      <c r="E501" s="9"/>
    </row>
    <row r="502" ht="15.75" customHeight="1">
      <c r="C502" s="9"/>
      <c r="E502" s="9"/>
    </row>
    <row r="503" ht="15.75" customHeight="1">
      <c r="C503" s="9"/>
      <c r="E503" s="9"/>
    </row>
    <row r="504" ht="15.75" customHeight="1">
      <c r="C504" s="9"/>
      <c r="E504" s="9"/>
    </row>
    <row r="505" ht="15.75" customHeight="1">
      <c r="C505" s="9"/>
      <c r="E505" s="9"/>
    </row>
    <row r="506" ht="15.75" customHeight="1">
      <c r="C506" s="9"/>
      <c r="E506" s="9"/>
    </row>
    <row r="507" ht="15.75" customHeight="1">
      <c r="C507" s="9"/>
      <c r="E507" s="9"/>
    </row>
    <row r="508" ht="15.75" customHeight="1">
      <c r="C508" s="9"/>
      <c r="E508" s="9"/>
    </row>
    <row r="509" ht="15.75" customHeight="1">
      <c r="C509" s="9"/>
      <c r="E509" s="9"/>
    </row>
    <row r="510" ht="15.75" customHeight="1">
      <c r="C510" s="9"/>
      <c r="E510" s="9"/>
    </row>
    <row r="511" ht="15.75" customHeight="1">
      <c r="C511" s="9"/>
      <c r="E511" s="9"/>
    </row>
    <row r="512" ht="15.75" customHeight="1">
      <c r="C512" s="9"/>
      <c r="E512" s="9"/>
    </row>
    <row r="513" ht="15.75" customHeight="1">
      <c r="C513" s="9"/>
      <c r="E513" s="9"/>
    </row>
    <row r="514" ht="15.75" customHeight="1">
      <c r="C514" s="9"/>
      <c r="E514" s="9"/>
    </row>
    <row r="515" ht="15.75" customHeight="1">
      <c r="C515" s="9"/>
      <c r="E515" s="9"/>
    </row>
    <row r="516" ht="15.75" customHeight="1">
      <c r="C516" s="9"/>
      <c r="E516" s="9"/>
    </row>
    <row r="517" ht="15.75" customHeight="1">
      <c r="C517" s="9"/>
      <c r="E517" s="9"/>
    </row>
    <row r="518" ht="15.75" customHeight="1">
      <c r="C518" s="9"/>
      <c r="E518" s="9"/>
    </row>
    <row r="519" ht="15.75" customHeight="1">
      <c r="C519" s="9"/>
      <c r="E519" s="9"/>
    </row>
    <row r="520" ht="15.75" customHeight="1">
      <c r="C520" s="9"/>
      <c r="E520" s="9"/>
    </row>
    <row r="521" ht="15.75" customHeight="1">
      <c r="C521" s="9"/>
      <c r="E521" s="9"/>
    </row>
    <row r="522" ht="15.75" customHeight="1">
      <c r="C522" s="9"/>
      <c r="E522" s="9"/>
    </row>
    <row r="523" ht="15.75" customHeight="1">
      <c r="C523" s="9"/>
      <c r="E523" s="9"/>
    </row>
    <row r="524" ht="15.75" customHeight="1">
      <c r="C524" s="9"/>
      <c r="E524" s="9"/>
    </row>
    <row r="525" ht="15.75" customHeight="1">
      <c r="C525" s="9"/>
      <c r="E525" s="9"/>
    </row>
    <row r="526" ht="15.75" customHeight="1">
      <c r="C526" s="9"/>
      <c r="E526" s="9"/>
    </row>
    <row r="527" ht="15.75" customHeight="1">
      <c r="C527" s="9"/>
      <c r="E527" s="9"/>
    </row>
    <row r="528" ht="15.75" customHeight="1">
      <c r="C528" s="9"/>
      <c r="E528" s="9"/>
    </row>
    <row r="529" ht="15.75" customHeight="1">
      <c r="C529" s="9"/>
      <c r="E529" s="9"/>
    </row>
    <row r="530" ht="15.75" customHeight="1">
      <c r="C530" s="9"/>
      <c r="E530" s="9"/>
    </row>
    <row r="531" ht="15.75" customHeight="1">
      <c r="C531" s="9"/>
      <c r="E531" s="9"/>
    </row>
    <row r="532" ht="15.75" customHeight="1">
      <c r="C532" s="9"/>
      <c r="E532" s="9"/>
    </row>
    <row r="533" ht="15.75" customHeight="1">
      <c r="C533" s="9"/>
      <c r="E533" s="9"/>
    </row>
    <row r="534" ht="15.75" customHeight="1">
      <c r="C534" s="9"/>
      <c r="E534" s="9"/>
    </row>
    <row r="535" ht="15.75" customHeight="1">
      <c r="C535" s="9"/>
      <c r="E535" s="9"/>
    </row>
    <row r="536" ht="15.75" customHeight="1">
      <c r="C536" s="9"/>
      <c r="E536" s="9"/>
    </row>
    <row r="537" ht="15.75" customHeight="1">
      <c r="C537" s="9"/>
      <c r="E537" s="9"/>
    </row>
    <row r="538" ht="15.75" customHeight="1">
      <c r="C538" s="9"/>
      <c r="E538" s="9"/>
    </row>
    <row r="539" ht="15.75" customHeight="1">
      <c r="C539" s="9"/>
      <c r="E539" s="9"/>
    </row>
    <row r="540" ht="15.75" customHeight="1">
      <c r="C540" s="9"/>
      <c r="E540" s="9"/>
    </row>
    <row r="541" ht="15.75" customHeight="1">
      <c r="C541" s="9"/>
      <c r="E541" s="9"/>
    </row>
    <row r="542" ht="15.75" customHeight="1">
      <c r="C542" s="9"/>
      <c r="E542" s="9"/>
    </row>
    <row r="543" ht="15.75" customHeight="1">
      <c r="C543" s="9"/>
      <c r="E543" s="9"/>
    </row>
    <row r="544" ht="15.75" customHeight="1">
      <c r="C544" s="9"/>
      <c r="E544" s="9"/>
    </row>
    <row r="545" ht="15.75" customHeight="1">
      <c r="C545" s="9"/>
      <c r="E545" s="9"/>
    </row>
    <row r="546" ht="15.75" customHeight="1">
      <c r="C546" s="9"/>
      <c r="E546" s="9"/>
    </row>
    <row r="547" ht="15.75" customHeight="1">
      <c r="C547" s="9"/>
      <c r="E547" s="9"/>
    </row>
    <row r="548" ht="15.75" customHeight="1">
      <c r="C548" s="9"/>
      <c r="E548" s="9"/>
    </row>
    <row r="549" ht="15.75" customHeight="1">
      <c r="C549" s="9"/>
      <c r="E549" s="9"/>
    </row>
    <row r="550" ht="15.75" customHeight="1">
      <c r="C550" s="9"/>
      <c r="E550" s="9"/>
    </row>
    <row r="551" ht="15.75" customHeight="1">
      <c r="C551" s="9"/>
      <c r="E551" s="9"/>
    </row>
    <row r="552" ht="15.75" customHeight="1">
      <c r="C552" s="9"/>
      <c r="E552" s="9"/>
    </row>
    <row r="553" ht="15.75" customHeight="1">
      <c r="C553" s="9"/>
      <c r="E553" s="9"/>
    </row>
    <row r="554" ht="15.75" customHeight="1">
      <c r="C554" s="9"/>
      <c r="E554" s="9"/>
    </row>
    <row r="555" ht="15.75" customHeight="1">
      <c r="C555" s="9"/>
      <c r="E555" s="9"/>
    </row>
    <row r="556" ht="15.75" customHeight="1">
      <c r="C556" s="9"/>
      <c r="E556" s="9"/>
    </row>
    <row r="557" ht="15.75" customHeight="1">
      <c r="C557" s="9"/>
      <c r="E557" s="9"/>
    </row>
    <row r="558" ht="15.75" customHeight="1">
      <c r="C558" s="9"/>
      <c r="E558" s="9"/>
    </row>
    <row r="559" ht="15.75" customHeight="1">
      <c r="C559" s="9"/>
      <c r="E559" s="9"/>
    </row>
    <row r="560" ht="15.75" customHeight="1">
      <c r="C560" s="9"/>
      <c r="E560" s="9"/>
    </row>
    <row r="561" ht="15.75" customHeight="1">
      <c r="C561" s="9"/>
      <c r="E561" s="9"/>
    </row>
    <row r="562" ht="15.75" customHeight="1">
      <c r="C562" s="9"/>
      <c r="E562" s="9"/>
    </row>
    <row r="563" ht="15.75" customHeight="1">
      <c r="C563" s="9"/>
      <c r="E563" s="9"/>
    </row>
    <row r="564" ht="15.75" customHeight="1">
      <c r="C564" s="9"/>
      <c r="E564" s="9"/>
    </row>
    <row r="565" ht="15.75" customHeight="1">
      <c r="C565" s="9"/>
      <c r="E565" s="9"/>
    </row>
    <row r="566" ht="15.75" customHeight="1">
      <c r="C566" s="9"/>
      <c r="E566" s="9"/>
    </row>
    <row r="567" ht="15.75" customHeight="1">
      <c r="C567" s="9"/>
      <c r="E567" s="9"/>
    </row>
    <row r="568" ht="15.75" customHeight="1">
      <c r="C568" s="9"/>
      <c r="E568" s="9"/>
    </row>
    <row r="569" ht="15.75" customHeight="1">
      <c r="C569" s="9"/>
      <c r="E569" s="9"/>
    </row>
    <row r="570" ht="15.75" customHeight="1">
      <c r="C570" s="9"/>
      <c r="E570" s="9"/>
    </row>
    <row r="571" ht="15.75" customHeight="1">
      <c r="C571" s="9"/>
      <c r="E571" s="9"/>
    </row>
    <row r="572" ht="15.75" customHeight="1">
      <c r="C572" s="9"/>
      <c r="E572" s="9"/>
    </row>
    <row r="573" ht="15.75" customHeight="1">
      <c r="C573" s="9"/>
      <c r="E573" s="9"/>
    </row>
    <row r="574" ht="15.75" customHeight="1">
      <c r="C574" s="9"/>
      <c r="E574" s="9"/>
    </row>
    <row r="575" ht="15.75" customHeight="1">
      <c r="C575" s="9"/>
      <c r="E575" s="9"/>
    </row>
    <row r="576" ht="15.75" customHeight="1">
      <c r="C576" s="9"/>
      <c r="E576" s="9"/>
    </row>
    <row r="577" ht="15.75" customHeight="1">
      <c r="C577" s="9"/>
      <c r="E577" s="9"/>
    </row>
    <row r="578" ht="15.75" customHeight="1">
      <c r="C578" s="9"/>
      <c r="E578" s="9"/>
    </row>
    <row r="579" ht="15.75" customHeight="1">
      <c r="C579" s="9"/>
      <c r="E579" s="9"/>
    </row>
    <row r="580" ht="15.75" customHeight="1">
      <c r="C580" s="9"/>
      <c r="E580" s="9"/>
    </row>
    <row r="581" ht="15.75" customHeight="1">
      <c r="C581" s="9"/>
      <c r="E581" s="9"/>
    </row>
    <row r="582" ht="15.75" customHeight="1">
      <c r="C582" s="9"/>
      <c r="E582" s="9"/>
    </row>
    <row r="583" ht="15.75" customHeight="1">
      <c r="C583" s="9"/>
      <c r="E583" s="9"/>
    </row>
    <row r="584" ht="15.75" customHeight="1">
      <c r="C584" s="9"/>
      <c r="E584" s="9"/>
    </row>
    <row r="585" ht="15.75" customHeight="1">
      <c r="C585" s="9"/>
      <c r="E585" s="9"/>
    </row>
    <row r="586" ht="15.75" customHeight="1">
      <c r="C586" s="9"/>
      <c r="E586" s="9"/>
    </row>
    <row r="587" ht="15.75" customHeight="1">
      <c r="C587" s="9"/>
      <c r="E587" s="9"/>
    </row>
    <row r="588" ht="15.75" customHeight="1">
      <c r="C588" s="9"/>
      <c r="E588" s="9"/>
    </row>
    <row r="589" ht="15.75" customHeight="1">
      <c r="C589" s="9"/>
      <c r="E589" s="9"/>
    </row>
    <row r="590" ht="15.75" customHeight="1">
      <c r="C590" s="9"/>
      <c r="E590" s="9"/>
    </row>
    <row r="591" ht="15.75" customHeight="1">
      <c r="C591" s="9"/>
      <c r="E591" s="9"/>
    </row>
    <row r="592" ht="15.75" customHeight="1">
      <c r="C592" s="9"/>
      <c r="E592" s="9"/>
    </row>
    <row r="593" ht="15.75" customHeight="1">
      <c r="C593" s="9"/>
      <c r="E593" s="9"/>
    </row>
    <row r="594" ht="15.75" customHeight="1">
      <c r="C594" s="9"/>
      <c r="E594" s="9"/>
    </row>
    <row r="595" ht="15.75" customHeight="1">
      <c r="C595" s="9"/>
      <c r="E595" s="9"/>
    </row>
    <row r="596" ht="15.75" customHeight="1">
      <c r="C596" s="9"/>
      <c r="E596" s="9"/>
    </row>
    <row r="597" ht="15.75" customHeight="1">
      <c r="C597" s="9"/>
      <c r="E597" s="9"/>
    </row>
    <row r="598" ht="15.75" customHeight="1">
      <c r="C598" s="9"/>
      <c r="E598" s="9"/>
    </row>
    <row r="599" ht="15.75" customHeight="1">
      <c r="C599" s="9"/>
      <c r="E599" s="9"/>
    </row>
    <row r="600" ht="15.75" customHeight="1">
      <c r="C600" s="9"/>
      <c r="E600" s="9"/>
    </row>
    <row r="601" ht="15.75" customHeight="1">
      <c r="C601" s="9"/>
      <c r="E601" s="9"/>
    </row>
    <row r="602" ht="15.75" customHeight="1">
      <c r="C602" s="9"/>
      <c r="E602" s="9"/>
    </row>
    <row r="603" ht="15.75" customHeight="1">
      <c r="C603" s="9"/>
      <c r="E603" s="9"/>
    </row>
    <row r="604" ht="15.75" customHeight="1">
      <c r="C604" s="9"/>
      <c r="E604" s="9"/>
    </row>
    <row r="605" ht="15.75" customHeight="1">
      <c r="C605" s="9"/>
      <c r="E605" s="9"/>
    </row>
    <row r="606" ht="15.75" customHeight="1">
      <c r="C606" s="9"/>
      <c r="E606" s="9"/>
    </row>
    <row r="607" ht="15.75" customHeight="1">
      <c r="C607" s="9"/>
      <c r="E607" s="9"/>
    </row>
    <row r="608" ht="15.75" customHeight="1">
      <c r="C608" s="9"/>
      <c r="E608" s="9"/>
    </row>
    <row r="609" ht="15.75" customHeight="1">
      <c r="C609" s="9"/>
      <c r="E609" s="9"/>
    </row>
    <row r="610" ht="15.75" customHeight="1">
      <c r="C610" s="9"/>
      <c r="E610" s="9"/>
    </row>
    <row r="611" ht="15.75" customHeight="1">
      <c r="C611" s="9"/>
      <c r="E611" s="9"/>
    </row>
    <row r="612" ht="15.75" customHeight="1">
      <c r="C612" s="9"/>
      <c r="E612" s="9"/>
    </row>
    <row r="613" ht="15.75" customHeight="1">
      <c r="C613" s="9"/>
      <c r="E613" s="9"/>
    </row>
    <row r="614" ht="15.75" customHeight="1">
      <c r="C614" s="9"/>
      <c r="E614" s="9"/>
    </row>
    <row r="615" ht="15.75" customHeight="1">
      <c r="C615" s="9"/>
      <c r="E615" s="9"/>
    </row>
    <row r="616" ht="15.75" customHeight="1">
      <c r="C616" s="9"/>
      <c r="E616" s="9"/>
    </row>
    <row r="617" ht="15.75" customHeight="1">
      <c r="C617" s="9"/>
      <c r="E617" s="9"/>
    </row>
    <row r="618" ht="15.75" customHeight="1">
      <c r="C618" s="9"/>
      <c r="E618" s="9"/>
    </row>
    <row r="619" ht="15.75" customHeight="1">
      <c r="C619" s="9"/>
      <c r="E619" s="9"/>
    </row>
    <row r="620" ht="15.75" customHeight="1">
      <c r="C620" s="9"/>
      <c r="E620" s="9"/>
    </row>
    <row r="621" ht="15.75" customHeight="1">
      <c r="C621" s="9"/>
      <c r="E621" s="9"/>
    </row>
    <row r="622" ht="15.75" customHeight="1">
      <c r="C622" s="9"/>
      <c r="E622" s="9"/>
    </row>
    <row r="623" ht="15.75" customHeight="1">
      <c r="C623" s="9"/>
      <c r="E623" s="9"/>
    </row>
    <row r="624" ht="15.75" customHeight="1">
      <c r="C624" s="9"/>
      <c r="E624" s="9"/>
    </row>
    <row r="625" ht="15.75" customHeight="1">
      <c r="C625" s="9"/>
      <c r="E625" s="9"/>
    </row>
    <row r="626" ht="15.75" customHeight="1">
      <c r="C626" s="9"/>
      <c r="E626" s="9"/>
    </row>
    <row r="627" ht="15.75" customHeight="1">
      <c r="C627" s="9"/>
      <c r="E627" s="9"/>
    </row>
    <row r="628" ht="15.75" customHeight="1">
      <c r="C628" s="9"/>
      <c r="E628" s="9"/>
    </row>
    <row r="629" ht="15.75" customHeight="1">
      <c r="C629" s="9"/>
      <c r="E629" s="9"/>
    </row>
    <row r="630" ht="15.75" customHeight="1">
      <c r="C630" s="9"/>
      <c r="E630" s="9"/>
    </row>
    <row r="631" ht="15.75" customHeight="1">
      <c r="C631" s="9"/>
      <c r="E631" s="9"/>
    </row>
    <row r="632" ht="15.75" customHeight="1">
      <c r="C632" s="9"/>
      <c r="E632" s="9"/>
    </row>
    <row r="633" ht="15.75" customHeight="1">
      <c r="C633" s="9"/>
      <c r="E633" s="9"/>
    </row>
    <row r="634" ht="15.75" customHeight="1">
      <c r="C634" s="9"/>
      <c r="E634" s="9"/>
    </row>
    <row r="635" ht="15.75" customHeight="1">
      <c r="C635" s="9"/>
      <c r="E635" s="9"/>
    </row>
    <row r="636" ht="15.75" customHeight="1">
      <c r="C636" s="9"/>
      <c r="E636" s="9"/>
    </row>
    <row r="637" ht="15.75" customHeight="1">
      <c r="C637" s="9"/>
      <c r="E637" s="9"/>
    </row>
    <row r="638" ht="15.75" customHeight="1">
      <c r="C638" s="9"/>
      <c r="E638" s="9"/>
    </row>
    <row r="639" ht="15.75" customHeight="1">
      <c r="C639" s="9"/>
      <c r="E639" s="9"/>
    </row>
    <row r="640" ht="15.75" customHeight="1">
      <c r="C640" s="9"/>
      <c r="E640" s="9"/>
    </row>
    <row r="641" ht="15.75" customHeight="1">
      <c r="C641" s="9"/>
      <c r="E641" s="9"/>
    </row>
    <row r="642" ht="15.75" customHeight="1">
      <c r="C642" s="9"/>
      <c r="E642" s="9"/>
    </row>
    <row r="643" ht="15.75" customHeight="1">
      <c r="C643" s="9"/>
      <c r="E643" s="9"/>
    </row>
    <row r="644" ht="15.75" customHeight="1">
      <c r="C644" s="9"/>
      <c r="E644" s="9"/>
    </row>
    <row r="645" ht="15.75" customHeight="1">
      <c r="C645" s="9"/>
      <c r="E645" s="9"/>
    </row>
    <row r="646" ht="15.75" customHeight="1">
      <c r="C646" s="9"/>
      <c r="E646" s="9"/>
    </row>
    <row r="647" ht="15.75" customHeight="1">
      <c r="C647" s="9"/>
      <c r="E647" s="9"/>
    </row>
    <row r="648" ht="15.75" customHeight="1">
      <c r="C648" s="9"/>
      <c r="E648" s="9"/>
    </row>
    <row r="649" ht="15.75" customHeight="1">
      <c r="C649" s="9"/>
      <c r="E649" s="9"/>
    </row>
    <row r="650" ht="15.75" customHeight="1">
      <c r="C650" s="9"/>
      <c r="E650" s="9"/>
    </row>
    <row r="651" ht="15.75" customHeight="1">
      <c r="C651" s="9"/>
      <c r="E651" s="9"/>
    </row>
    <row r="652" ht="15.75" customHeight="1">
      <c r="C652" s="9"/>
      <c r="E652" s="9"/>
    </row>
    <row r="653" ht="15.75" customHeight="1">
      <c r="C653" s="9"/>
      <c r="E653" s="9"/>
    </row>
    <row r="654" ht="15.75" customHeight="1">
      <c r="C654" s="9"/>
      <c r="E654" s="9"/>
    </row>
    <row r="655" ht="15.75" customHeight="1">
      <c r="C655" s="9"/>
      <c r="E655" s="9"/>
    </row>
    <row r="656" ht="15.75" customHeight="1">
      <c r="C656" s="9"/>
      <c r="E656" s="9"/>
    </row>
    <row r="657" ht="15.75" customHeight="1">
      <c r="C657" s="9"/>
      <c r="E657" s="9"/>
    </row>
    <row r="658" ht="15.75" customHeight="1">
      <c r="C658" s="9"/>
      <c r="E658" s="9"/>
    </row>
    <row r="659" ht="15.75" customHeight="1">
      <c r="C659" s="9"/>
      <c r="E659" s="9"/>
    </row>
    <row r="660" ht="15.75" customHeight="1">
      <c r="C660" s="9"/>
      <c r="E660" s="9"/>
    </row>
    <row r="661" ht="15.75" customHeight="1">
      <c r="C661" s="9"/>
      <c r="E661" s="9"/>
    </row>
    <row r="662" ht="15.75" customHeight="1">
      <c r="C662" s="9"/>
      <c r="E662" s="9"/>
    </row>
    <row r="663" ht="15.75" customHeight="1">
      <c r="C663" s="9"/>
      <c r="E663" s="9"/>
    </row>
    <row r="664" ht="15.75" customHeight="1">
      <c r="C664" s="9"/>
      <c r="E664" s="9"/>
    </row>
    <row r="665" ht="15.75" customHeight="1">
      <c r="C665" s="9"/>
      <c r="E665" s="9"/>
    </row>
    <row r="666" ht="15.75" customHeight="1">
      <c r="C666" s="9"/>
      <c r="E666" s="9"/>
    </row>
    <row r="667" ht="15.75" customHeight="1">
      <c r="C667" s="9"/>
      <c r="E667" s="9"/>
    </row>
    <row r="668" ht="15.75" customHeight="1">
      <c r="C668" s="9"/>
      <c r="E668" s="9"/>
    </row>
    <row r="669" ht="15.75" customHeight="1">
      <c r="C669" s="9"/>
      <c r="E669" s="9"/>
    </row>
    <row r="670" ht="15.75" customHeight="1">
      <c r="C670" s="9"/>
      <c r="E670" s="9"/>
    </row>
    <row r="671" ht="15.75" customHeight="1">
      <c r="C671" s="9"/>
      <c r="E671" s="9"/>
    </row>
    <row r="672" ht="15.75" customHeight="1">
      <c r="C672" s="9"/>
      <c r="E672" s="9"/>
    </row>
    <row r="673" ht="15.75" customHeight="1">
      <c r="C673" s="9"/>
      <c r="E673" s="9"/>
    </row>
    <row r="674" ht="15.75" customHeight="1">
      <c r="C674" s="9"/>
      <c r="E674" s="9"/>
    </row>
    <row r="675" ht="15.75" customHeight="1">
      <c r="C675" s="9"/>
      <c r="E675" s="9"/>
    </row>
    <row r="676" ht="15.75" customHeight="1">
      <c r="C676" s="9"/>
      <c r="E676" s="9"/>
    </row>
    <row r="677" ht="15.75" customHeight="1">
      <c r="C677" s="9"/>
      <c r="E677" s="9"/>
    </row>
    <row r="678" ht="15.75" customHeight="1">
      <c r="C678" s="9"/>
      <c r="E678" s="9"/>
    </row>
    <row r="679" ht="15.75" customHeight="1">
      <c r="C679" s="9"/>
      <c r="E679" s="9"/>
    </row>
    <row r="680" ht="15.75" customHeight="1">
      <c r="C680" s="9"/>
      <c r="E680" s="9"/>
    </row>
    <row r="681" ht="15.75" customHeight="1">
      <c r="C681" s="9"/>
      <c r="E681" s="9"/>
    </row>
    <row r="682" ht="15.75" customHeight="1">
      <c r="C682" s="9"/>
      <c r="E682" s="9"/>
    </row>
    <row r="683" ht="15.75" customHeight="1">
      <c r="C683" s="9"/>
      <c r="E683" s="9"/>
    </row>
    <row r="684" ht="15.75" customHeight="1">
      <c r="C684" s="9"/>
      <c r="E684" s="9"/>
    </row>
    <row r="685" ht="15.75" customHeight="1">
      <c r="C685" s="9"/>
      <c r="E685" s="9"/>
    </row>
    <row r="686" ht="15.75" customHeight="1">
      <c r="C686" s="9"/>
      <c r="E686" s="9"/>
    </row>
    <row r="687" ht="15.75" customHeight="1">
      <c r="C687" s="9"/>
      <c r="E687" s="9"/>
    </row>
    <row r="688" ht="15.75" customHeight="1">
      <c r="C688" s="9"/>
      <c r="E688" s="9"/>
    </row>
    <row r="689" ht="15.75" customHeight="1">
      <c r="C689" s="9"/>
      <c r="E689" s="9"/>
    </row>
    <row r="690" ht="15.75" customHeight="1">
      <c r="C690" s="9"/>
      <c r="E690" s="9"/>
    </row>
    <row r="691" ht="15.75" customHeight="1">
      <c r="C691" s="9"/>
      <c r="E691" s="9"/>
    </row>
    <row r="692" ht="15.75" customHeight="1">
      <c r="C692" s="9"/>
      <c r="E692" s="9"/>
    </row>
    <row r="693" ht="15.75" customHeight="1">
      <c r="C693" s="9"/>
      <c r="E693" s="9"/>
    </row>
    <row r="694" ht="15.75" customHeight="1">
      <c r="C694" s="9"/>
      <c r="E694" s="9"/>
    </row>
    <row r="695" ht="15.75" customHeight="1">
      <c r="C695" s="9"/>
      <c r="E695" s="9"/>
    </row>
    <row r="696" ht="15.75" customHeight="1">
      <c r="C696" s="9"/>
      <c r="E696" s="9"/>
    </row>
    <row r="697" ht="15.75" customHeight="1">
      <c r="C697" s="9"/>
      <c r="E697" s="9"/>
    </row>
    <row r="698" ht="15.75" customHeight="1">
      <c r="C698" s="9"/>
      <c r="E698" s="9"/>
    </row>
    <row r="699" ht="15.75" customHeight="1">
      <c r="C699" s="9"/>
      <c r="E699" s="9"/>
    </row>
    <row r="700" ht="15.75" customHeight="1">
      <c r="C700" s="9"/>
      <c r="E700" s="9"/>
    </row>
    <row r="701" ht="15.75" customHeight="1">
      <c r="C701" s="9"/>
      <c r="E701" s="9"/>
    </row>
    <row r="702" ht="15.75" customHeight="1">
      <c r="C702" s="9"/>
      <c r="E702" s="9"/>
    </row>
    <row r="703" ht="15.75" customHeight="1">
      <c r="C703" s="9"/>
      <c r="E703" s="9"/>
    </row>
    <row r="704" ht="15.75" customHeight="1">
      <c r="C704" s="9"/>
      <c r="E704" s="9"/>
    </row>
    <row r="705" ht="15.75" customHeight="1">
      <c r="C705" s="9"/>
      <c r="E705" s="9"/>
    </row>
    <row r="706" ht="15.75" customHeight="1">
      <c r="C706" s="9"/>
      <c r="E706" s="9"/>
    </row>
    <row r="707" ht="15.75" customHeight="1">
      <c r="C707" s="9"/>
      <c r="E707" s="9"/>
    </row>
    <row r="708" ht="15.75" customHeight="1">
      <c r="C708" s="9"/>
      <c r="E708" s="9"/>
    </row>
    <row r="709" ht="15.75" customHeight="1">
      <c r="C709" s="9"/>
      <c r="E709" s="9"/>
    </row>
    <row r="710" ht="15.75" customHeight="1">
      <c r="C710" s="9"/>
      <c r="E710" s="9"/>
    </row>
    <row r="711" ht="15.75" customHeight="1">
      <c r="C711" s="9"/>
      <c r="E711" s="9"/>
    </row>
    <row r="712" ht="15.75" customHeight="1">
      <c r="C712" s="9"/>
      <c r="E712" s="9"/>
    </row>
    <row r="713" ht="15.75" customHeight="1">
      <c r="C713" s="9"/>
      <c r="E713" s="9"/>
    </row>
    <row r="714" ht="15.75" customHeight="1">
      <c r="C714" s="9"/>
      <c r="E714" s="9"/>
    </row>
    <row r="715" ht="15.75" customHeight="1">
      <c r="C715" s="9"/>
      <c r="E715" s="9"/>
    </row>
    <row r="716" ht="15.75" customHeight="1">
      <c r="C716" s="9"/>
      <c r="E716" s="9"/>
    </row>
    <row r="717" ht="15.75" customHeight="1">
      <c r="C717" s="9"/>
      <c r="E717" s="9"/>
    </row>
    <row r="718" ht="15.75" customHeight="1">
      <c r="C718" s="9"/>
      <c r="E718" s="9"/>
    </row>
    <row r="719" ht="15.75" customHeight="1">
      <c r="C719" s="9"/>
      <c r="E719" s="9"/>
    </row>
    <row r="720" ht="15.75" customHeight="1">
      <c r="C720" s="9"/>
      <c r="E720" s="9"/>
    </row>
    <row r="721" ht="15.75" customHeight="1">
      <c r="C721" s="9"/>
      <c r="E721" s="9"/>
    </row>
    <row r="722" ht="15.75" customHeight="1">
      <c r="C722" s="9"/>
      <c r="E722" s="9"/>
    </row>
    <row r="723" ht="15.75" customHeight="1">
      <c r="C723" s="9"/>
      <c r="E723" s="9"/>
    </row>
    <row r="724" ht="15.75" customHeight="1">
      <c r="C724" s="9"/>
      <c r="E724" s="9"/>
    </row>
    <row r="725" ht="15.75" customHeight="1">
      <c r="C725" s="9"/>
      <c r="E725" s="9"/>
    </row>
    <row r="726" ht="15.75" customHeight="1">
      <c r="C726" s="9"/>
      <c r="E726" s="9"/>
    </row>
    <row r="727" ht="15.75" customHeight="1">
      <c r="C727" s="9"/>
      <c r="E727" s="9"/>
    </row>
    <row r="728" ht="15.75" customHeight="1">
      <c r="C728" s="9"/>
      <c r="E728" s="9"/>
    </row>
    <row r="729" ht="15.75" customHeight="1">
      <c r="C729" s="9"/>
      <c r="E729" s="9"/>
    </row>
    <row r="730" ht="15.75" customHeight="1">
      <c r="C730" s="9"/>
      <c r="E730" s="9"/>
    </row>
    <row r="731" ht="15.75" customHeight="1">
      <c r="C731" s="9"/>
      <c r="E731" s="9"/>
    </row>
    <row r="732" ht="15.75" customHeight="1">
      <c r="C732" s="9"/>
      <c r="E732" s="9"/>
    </row>
    <row r="733" ht="15.75" customHeight="1">
      <c r="C733" s="9"/>
      <c r="E733" s="9"/>
    </row>
    <row r="734" ht="15.75" customHeight="1">
      <c r="C734" s="9"/>
      <c r="E734" s="9"/>
    </row>
    <row r="735" ht="15.75" customHeight="1">
      <c r="C735" s="9"/>
      <c r="E735" s="9"/>
    </row>
    <row r="736" ht="15.75" customHeight="1">
      <c r="C736" s="9"/>
      <c r="E736" s="9"/>
    </row>
    <row r="737" ht="15.75" customHeight="1">
      <c r="C737" s="9"/>
      <c r="E737" s="9"/>
    </row>
    <row r="738" ht="15.75" customHeight="1">
      <c r="C738" s="9"/>
      <c r="E738" s="9"/>
    </row>
    <row r="739" ht="15.75" customHeight="1">
      <c r="C739" s="9"/>
      <c r="E739" s="9"/>
    </row>
    <row r="740" ht="15.75" customHeight="1">
      <c r="C740" s="9"/>
      <c r="E740" s="9"/>
    </row>
    <row r="741" ht="15.75" customHeight="1">
      <c r="C741" s="9"/>
      <c r="E741" s="9"/>
    </row>
    <row r="742" ht="15.75" customHeight="1">
      <c r="C742" s="9"/>
      <c r="E742" s="9"/>
    </row>
    <row r="743" ht="15.75" customHeight="1">
      <c r="C743" s="9"/>
      <c r="E743" s="9"/>
    </row>
    <row r="744" ht="15.75" customHeight="1">
      <c r="C744" s="9"/>
      <c r="E744" s="9"/>
    </row>
    <row r="745" ht="15.75" customHeight="1">
      <c r="C745" s="9"/>
      <c r="E745" s="9"/>
    </row>
    <row r="746" ht="15.75" customHeight="1">
      <c r="C746" s="9"/>
      <c r="E746" s="9"/>
    </row>
    <row r="747" ht="15.75" customHeight="1">
      <c r="C747" s="9"/>
      <c r="E747" s="9"/>
    </row>
    <row r="748" ht="15.75" customHeight="1">
      <c r="C748" s="9"/>
      <c r="E748" s="9"/>
    </row>
    <row r="749" ht="15.75" customHeight="1">
      <c r="C749" s="9"/>
      <c r="E749" s="9"/>
    </row>
    <row r="750" ht="15.75" customHeight="1">
      <c r="C750" s="9"/>
      <c r="E750" s="9"/>
    </row>
    <row r="751" ht="15.75" customHeight="1">
      <c r="C751" s="9"/>
      <c r="E751" s="9"/>
    </row>
    <row r="752" ht="15.75" customHeight="1">
      <c r="C752" s="9"/>
      <c r="E752" s="9"/>
    </row>
    <row r="753" ht="15.75" customHeight="1">
      <c r="C753" s="9"/>
      <c r="E753" s="9"/>
    </row>
    <row r="754" ht="15.75" customHeight="1">
      <c r="C754" s="9"/>
      <c r="E754" s="9"/>
    </row>
    <row r="755" ht="15.75" customHeight="1">
      <c r="C755" s="9"/>
      <c r="E755" s="9"/>
    </row>
    <row r="756" ht="15.75" customHeight="1">
      <c r="C756" s="9"/>
      <c r="E756" s="9"/>
    </row>
    <row r="757" ht="15.75" customHeight="1">
      <c r="C757" s="9"/>
      <c r="E757" s="9"/>
    </row>
    <row r="758" ht="15.75" customHeight="1">
      <c r="C758" s="9"/>
      <c r="E758" s="9"/>
    </row>
    <row r="759" ht="15.75" customHeight="1">
      <c r="C759" s="9"/>
      <c r="E759" s="9"/>
    </row>
    <row r="760" ht="15.75" customHeight="1">
      <c r="C760" s="9"/>
      <c r="E760" s="9"/>
    </row>
    <row r="761" ht="15.75" customHeight="1">
      <c r="C761" s="9"/>
      <c r="E761" s="9"/>
    </row>
    <row r="762" ht="15.75" customHeight="1">
      <c r="C762" s="9"/>
      <c r="E762" s="9"/>
    </row>
    <row r="763" ht="15.75" customHeight="1">
      <c r="C763" s="9"/>
      <c r="E763" s="9"/>
    </row>
    <row r="764" ht="15.75" customHeight="1">
      <c r="C764" s="9"/>
      <c r="E764" s="9"/>
    </row>
    <row r="765" ht="15.75" customHeight="1">
      <c r="C765" s="9"/>
      <c r="E765" s="9"/>
    </row>
    <row r="766" ht="15.75" customHeight="1">
      <c r="C766" s="9"/>
      <c r="E766" s="9"/>
    </row>
    <row r="767" ht="15.75" customHeight="1">
      <c r="C767" s="9"/>
      <c r="E767" s="9"/>
    </row>
    <row r="768" ht="15.75" customHeight="1">
      <c r="C768" s="9"/>
      <c r="E768" s="9"/>
    </row>
    <row r="769" ht="15.75" customHeight="1">
      <c r="C769" s="9"/>
      <c r="E769" s="9"/>
    </row>
    <row r="770" ht="15.75" customHeight="1">
      <c r="C770" s="9"/>
      <c r="E770" s="9"/>
    </row>
    <row r="771" ht="15.75" customHeight="1">
      <c r="C771" s="9"/>
      <c r="E771" s="9"/>
    </row>
    <row r="772" ht="15.75" customHeight="1">
      <c r="C772" s="9"/>
      <c r="E772" s="9"/>
    </row>
    <row r="773" ht="15.75" customHeight="1">
      <c r="C773" s="9"/>
      <c r="E773" s="9"/>
    </row>
    <row r="774" ht="15.75" customHeight="1">
      <c r="C774" s="9"/>
      <c r="E774" s="9"/>
    </row>
    <row r="775" ht="15.75" customHeight="1">
      <c r="C775" s="9"/>
      <c r="E775" s="9"/>
    </row>
    <row r="776" ht="15.75" customHeight="1">
      <c r="C776" s="9"/>
      <c r="E776" s="9"/>
    </row>
    <row r="777" ht="15.75" customHeight="1">
      <c r="C777" s="9"/>
      <c r="E777" s="9"/>
    </row>
    <row r="778" ht="15.75" customHeight="1">
      <c r="C778" s="9"/>
      <c r="E778" s="9"/>
    </row>
    <row r="779" ht="15.75" customHeight="1">
      <c r="C779" s="9"/>
      <c r="E779" s="9"/>
    </row>
    <row r="780" ht="15.75" customHeight="1">
      <c r="C780" s="9"/>
      <c r="E780" s="9"/>
    </row>
    <row r="781" ht="15.75" customHeight="1">
      <c r="C781" s="9"/>
      <c r="E781" s="9"/>
    </row>
    <row r="782" ht="15.75" customHeight="1">
      <c r="C782" s="9"/>
      <c r="E782" s="9"/>
    </row>
    <row r="783" ht="15.75" customHeight="1">
      <c r="C783" s="9"/>
      <c r="E783" s="9"/>
    </row>
    <row r="784" ht="15.75" customHeight="1">
      <c r="C784" s="9"/>
      <c r="E784" s="9"/>
    </row>
    <row r="785" ht="15.75" customHeight="1">
      <c r="C785" s="9"/>
      <c r="E785" s="9"/>
    </row>
    <row r="786" ht="15.75" customHeight="1">
      <c r="C786" s="9"/>
      <c r="E786" s="9"/>
    </row>
    <row r="787" ht="15.75" customHeight="1">
      <c r="C787" s="9"/>
      <c r="E787" s="9"/>
    </row>
    <row r="788" ht="15.75" customHeight="1">
      <c r="C788" s="9"/>
      <c r="E788" s="9"/>
    </row>
    <row r="789" ht="15.75" customHeight="1">
      <c r="C789" s="9"/>
      <c r="E789" s="9"/>
    </row>
    <row r="790" ht="15.75" customHeight="1">
      <c r="C790" s="9"/>
      <c r="E790" s="9"/>
    </row>
    <row r="791" ht="15.75" customHeight="1">
      <c r="C791" s="9"/>
      <c r="E791" s="9"/>
    </row>
    <row r="792" ht="15.75" customHeight="1">
      <c r="C792" s="9"/>
      <c r="E792" s="9"/>
    </row>
    <row r="793" ht="15.75" customHeight="1">
      <c r="C793" s="9"/>
      <c r="E793" s="9"/>
    </row>
    <row r="794" ht="15.75" customHeight="1">
      <c r="C794" s="9"/>
      <c r="E794" s="9"/>
    </row>
    <row r="795" ht="15.75" customHeight="1">
      <c r="C795" s="9"/>
      <c r="E795" s="9"/>
    </row>
    <row r="796" ht="15.75" customHeight="1">
      <c r="C796" s="9"/>
      <c r="E796" s="9"/>
    </row>
    <row r="797" ht="15.75" customHeight="1">
      <c r="C797" s="9"/>
      <c r="E797" s="9"/>
    </row>
    <row r="798" ht="15.75" customHeight="1">
      <c r="C798" s="9"/>
      <c r="E798" s="9"/>
    </row>
    <row r="799" ht="15.75" customHeight="1">
      <c r="C799" s="9"/>
      <c r="E799" s="9"/>
    </row>
    <row r="800" ht="15.75" customHeight="1">
      <c r="C800" s="9"/>
      <c r="E800" s="9"/>
    </row>
    <row r="801" ht="15.75" customHeight="1">
      <c r="C801" s="9"/>
      <c r="E801" s="9"/>
    </row>
    <row r="802" ht="15.75" customHeight="1">
      <c r="C802" s="9"/>
      <c r="E802" s="9"/>
    </row>
    <row r="803" ht="15.75" customHeight="1">
      <c r="C803" s="9"/>
      <c r="E803" s="9"/>
    </row>
    <row r="804" ht="15.75" customHeight="1">
      <c r="C804" s="9"/>
      <c r="E804" s="9"/>
    </row>
    <row r="805" ht="15.75" customHeight="1">
      <c r="C805" s="9"/>
      <c r="E805" s="9"/>
    </row>
    <row r="806" ht="15.75" customHeight="1">
      <c r="C806" s="9"/>
      <c r="E806" s="9"/>
    </row>
    <row r="807" ht="15.75" customHeight="1">
      <c r="C807" s="9"/>
      <c r="E807" s="9"/>
    </row>
    <row r="808" ht="15.75" customHeight="1">
      <c r="C808" s="9"/>
      <c r="E808" s="9"/>
    </row>
    <row r="809" ht="15.75" customHeight="1">
      <c r="C809" s="9"/>
      <c r="E809" s="9"/>
    </row>
    <row r="810" ht="15.75" customHeight="1">
      <c r="C810" s="9"/>
      <c r="E810" s="9"/>
    </row>
    <row r="811" ht="15.75" customHeight="1">
      <c r="C811" s="9"/>
      <c r="E811" s="9"/>
    </row>
    <row r="812" ht="15.75" customHeight="1">
      <c r="C812" s="9"/>
      <c r="E812" s="9"/>
    </row>
    <row r="813" ht="15.75" customHeight="1">
      <c r="C813" s="9"/>
      <c r="E813" s="9"/>
    </row>
    <row r="814" ht="15.75" customHeight="1">
      <c r="C814" s="9"/>
      <c r="E814" s="9"/>
    </row>
    <row r="815" ht="15.75" customHeight="1">
      <c r="C815" s="9"/>
      <c r="E815" s="9"/>
    </row>
    <row r="816" ht="15.75" customHeight="1">
      <c r="C816" s="9"/>
      <c r="E816" s="9"/>
    </row>
    <row r="817" ht="15.75" customHeight="1">
      <c r="C817" s="9"/>
      <c r="E817" s="9"/>
    </row>
    <row r="818" ht="15.75" customHeight="1">
      <c r="C818" s="9"/>
      <c r="E818" s="9"/>
    </row>
    <row r="819" ht="15.75" customHeight="1">
      <c r="C819" s="9"/>
      <c r="E819" s="9"/>
    </row>
    <row r="820" ht="15.75" customHeight="1">
      <c r="C820" s="9"/>
      <c r="E820" s="9"/>
    </row>
    <row r="821" ht="15.75" customHeight="1">
      <c r="C821" s="9"/>
      <c r="E821" s="9"/>
    </row>
    <row r="822" ht="15.75" customHeight="1">
      <c r="C822" s="9"/>
      <c r="E822" s="9"/>
    </row>
    <row r="823" ht="15.75" customHeight="1">
      <c r="C823" s="9"/>
      <c r="E823" s="9"/>
    </row>
    <row r="824" ht="15.75" customHeight="1">
      <c r="C824" s="9"/>
      <c r="E824" s="9"/>
    </row>
    <row r="825" ht="15.75" customHeight="1">
      <c r="C825" s="9"/>
      <c r="E825" s="9"/>
    </row>
    <row r="826" ht="15.75" customHeight="1">
      <c r="C826" s="9"/>
      <c r="E826" s="9"/>
    </row>
    <row r="827" ht="15.75" customHeight="1">
      <c r="C827" s="9"/>
      <c r="E827" s="9"/>
    </row>
    <row r="828" ht="15.75" customHeight="1">
      <c r="C828" s="9"/>
      <c r="E828" s="9"/>
    </row>
    <row r="829" ht="15.75" customHeight="1">
      <c r="C829" s="9"/>
      <c r="E829" s="9"/>
    </row>
    <row r="830" ht="15.75" customHeight="1">
      <c r="C830" s="9"/>
      <c r="E830" s="9"/>
    </row>
    <row r="831" ht="15.75" customHeight="1">
      <c r="C831" s="9"/>
      <c r="E831" s="9"/>
    </row>
    <row r="832" ht="15.75" customHeight="1">
      <c r="C832" s="9"/>
      <c r="E832" s="9"/>
    </row>
    <row r="833" ht="15.75" customHeight="1">
      <c r="C833" s="9"/>
      <c r="E833" s="9"/>
    </row>
    <row r="834" ht="15.75" customHeight="1">
      <c r="C834" s="9"/>
      <c r="E834" s="9"/>
    </row>
    <row r="835" ht="15.75" customHeight="1">
      <c r="C835" s="9"/>
      <c r="E835" s="9"/>
    </row>
    <row r="836" ht="15.75" customHeight="1">
      <c r="C836" s="9"/>
      <c r="E836" s="9"/>
    </row>
    <row r="837" ht="15.75" customHeight="1">
      <c r="C837" s="9"/>
      <c r="E837" s="9"/>
    </row>
    <row r="838" ht="15.75" customHeight="1">
      <c r="C838" s="9"/>
      <c r="E838" s="9"/>
    </row>
    <row r="839" ht="15.75" customHeight="1">
      <c r="C839" s="9"/>
      <c r="E839" s="9"/>
    </row>
    <row r="840" ht="15.75" customHeight="1">
      <c r="C840" s="9"/>
      <c r="E840" s="9"/>
    </row>
    <row r="841" ht="15.75" customHeight="1">
      <c r="C841" s="9"/>
      <c r="E841" s="9"/>
    </row>
    <row r="842" ht="15.75" customHeight="1">
      <c r="C842" s="9"/>
      <c r="E842" s="9"/>
    </row>
    <row r="843" ht="15.75" customHeight="1">
      <c r="C843" s="9"/>
      <c r="E843" s="9"/>
    </row>
    <row r="844" ht="15.75" customHeight="1">
      <c r="C844" s="9"/>
      <c r="E844" s="9"/>
    </row>
    <row r="845" ht="15.75" customHeight="1">
      <c r="C845" s="9"/>
      <c r="E845" s="9"/>
    </row>
    <row r="846" ht="15.75" customHeight="1">
      <c r="C846" s="9"/>
      <c r="E846" s="9"/>
    </row>
    <row r="847" ht="15.75" customHeight="1">
      <c r="C847" s="9"/>
      <c r="E847" s="9"/>
    </row>
    <row r="848" ht="15.75" customHeight="1">
      <c r="C848" s="9"/>
      <c r="E848" s="9"/>
    </row>
    <row r="849" ht="15.75" customHeight="1">
      <c r="C849" s="9"/>
      <c r="E849" s="9"/>
    </row>
    <row r="850" ht="15.75" customHeight="1">
      <c r="C850" s="9"/>
      <c r="E850" s="9"/>
    </row>
    <row r="851" ht="15.75" customHeight="1">
      <c r="C851" s="9"/>
      <c r="E851" s="9"/>
    </row>
    <row r="852" ht="15.75" customHeight="1">
      <c r="C852" s="9"/>
      <c r="E852" s="9"/>
    </row>
    <row r="853" ht="15.75" customHeight="1">
      <c r="C853" s="9"/>
      <c r="E853" s="9"/>
    </row>
    <row r="854" ht="15.75" customHeight="1">
      <c r="C854" s="9"/>
      <c r="E854" s="9"/>
    </row>
    <row r="855" ht="15.75" customHeight="1">
      <c r="C855" s="9"/>
      <c r="E855" s="9"/>
    </row>
    <row r="856" ht="15.75" customHeight="1">
      <c r="C856" s="9"/>
      <c r="E856" s="9"/>
    </row>
    <row r="857" ht="15.75" customHeight="1">
      <c r="C857" s="9"/>
      <c r="E857" s="9"/>
    </row>
    <row r="858" ht="15.75" customHeight="1">
      <c r="C858" s="9"/>
      <c r="E858" s="9"/>
    </row>
    <row r="859" ht="15.75" customHeight="1">
      <c r="C859" s="9"/>
      <c r="E859" s="9"/>
    </row>
    <row r="860" ht="15.75" customHeight="1">
      <c r="C860" s="9"/>
      <c r="E860" s="9"/>
    </row>
    <row r="861" ht="15.75" customHeight="1">
      <c r="C861" s="9"/>
      <c r="E861" s="9"/>
    </row>
    <row r="862" ht="15.75" customHeight="1">
      <c r="C862" s="9"/>
      <c r="E862" s="9"/>
    </row>
    <row r="863" ht="15.75" customHeight="1">
      <c r="C863" s="9"/>
      <c r="E863" s="9"/>
    </row>
    <row r="864" ht="15.75" customHeight="1">
      <c r="C864" s="9"/>
      <c r="E864" s="9"/>
    </row>
    <row r="865" ht="15.75" customHeight="1">
      <c r="C865" s="9"/>
      <c r="E865" s="9"/>
    </row>
    <row r="866" ht="15.75" customHeight="1">
      <c r="C866" s="9"/>
      <c r="E866" s="9"/>
    </row>
    <row r="867" ht="15.75" customHeight="1">
      <c r="C867" s="9"/>
      <c r="E867" s="9"/>
    </row>
    <row r="868" ht="15.75" customHeight="1">
      <c r="C868" s="9"/>
      <c r="E868" s="9"/>
    </row>
    <row r="869" ht="15.75" customHeight="1">
      <c r="C869" s="9"/>
      <c r="E869" s="9"/>
    </row>
    <row r="870" ht="15.75" customHeight="1">
      <c r="C870" s="9"/>
      <c r="E870" s="9"/>
    </row>
    <row r="871" ht="15.75" customHeight="1">
      <c r="C871" s="9"/>
      <c r="E871" s="9"/>
    </row>
    <row r="872" ht="15.75" customHeight="1">
      <c r="C872" s="9"/>
      <c r="E872" s="9"/>
    </row>
    <row r="873" ht="15.75" customHeight="1">
      <c r="C873" s="9"/>
      <c r="E873" s="9"/>
    </row>
    <row r="874" ht="15.75" customHeight="1">
      <c r="C874" s="9"/>
      <c r="E874" s="9"/>
    </row>
    <row r="875" ht="15.75" customHeight="1">
      <c r="C875" s="9"/>
      <c r="E875" s="9"/>
    </row>
    <row r="876" ht="15.75" customHeight="1">
      <c r="C876" s="9"/>
      <c r="E876" s="9"/>
    </row>
    <row r="877" ht="15.75" customHeight="1">
      <c r="C877" s="9"/>
      <c r="E877" s="9"/>
    </row>
    <row r="878" ht="15.75" customHeight="1">
      <c r="C878" s="9"/>
      <c r="E878" s="9"/>
    </row>
    <row r="879" ht="15.75" customHeight="1">
      <c r="C879" s="9"/>
      <c r="E879" s="9"/>
    </row>
    <row r="880" ht="15.75" customHeight="1">
      <c r="C880" s="9"/>
      <c r="E880" s="9"/>
    </row>
    <row r="881" ht="15.75" customHeight="1">
      <c r="C881" s="9"/>
      <c r="E881" s="9"/>
    </row>
    <row r="882" ht="15.75" customHeight="1">
      <c r="C882" s="9"/>
      <c r="E882" s="9"/>
    </row>
    <row r="883" ht="15.75" customHeight="1">
      <c r="C883" s="9"/>
      <c r="E883" s="9"/>
    </row>
    <row r="884" ht="15.75" customHeight="1">
      <c r="C884" s="9"/>
      <c r="E884" s="9"/>
    </row>
    <row r="885" ht="15.75" customHeight="1">
      <c r="C885" s="9"/>
      <c r="E885" s="9"/>
    </row>
    <row r="886" ht="15.75" customHeight="1">
      <c r="C886" s="9"/>
      <c r="E886" s="9"/>
    </row>
    <row r="887" ht="15.75" customHeight="1">
      <c r="C887" s="9"/>
      <c r="E887" s="9"/>
    </row>
    <row r="888" ht="15.75" customHeight="1">
      <c r="C888" s="9"/>
      <c r="E888" s="9"/>
    </row>
    <row r="889" ht="15.75" customHeight="1">
      <c r="C889" s="9"/>
      <c r="E889" s="9"/>
    </row>
    <row r="890" ht="15.75" customHeight="1">
      <c r="C890" s="9"/>
      <c r="E890" s="9"/>
    </row>
    <row r="891" ht="15.75" customHeight="1">
      <c r="C891" s="9"/>
      <c r="E891" s="9"/>
    </row>
    <row r="892" ht="15.75" customHeight="1">
      <c r="C892" s="9"/>
      <c r="E892" s="9"/>
    </row>
    <row r="893" ht="15.75" customHeight="1">
      <c r="C893" s="9"/>
      <c r="E893" s="9"/>
    </row>
    <row r="894" ht="15.75" customHeight="1">
      <c r="C894" s="9"/>
      <c r="E894" s="9"/>
    </row>
    <row r="895" ht="15.75" customHeight="1">
      <c r="C895" s="9"/>
      <c r="E895" s="9"/>
    </row>
    <row r="896" ht="15.75" customHeight="1">
      <c r="C896" s="9"/>
      <c r="E896" s="9"/>
    </row>
    <row r="897" ht="15.75" customHeight="1">
      <c r="C897" s="9"/>
      <c r="E897" s="9"/>
    </row>
    <row r="898" ht="15.75" customHeight="1">
      <c r="C898" s="9"/>
      <c r="E898" s="9"/>
    </row>
    <row r="899" ht="15.75" customHeight="1">
      <c r="C899" s="9"/>
      <c r="E899" s="9"/>
    </row>
    <row r="900" ht="15.75" customHeight="1">
      <c r="C900" s="9"/>
      <c r="E900" s="9"/>
    </row>
    <row r="901" ht="15.75" customHeight="1">
      <c r="C901" s="9"/>
      <c r="E901" s="9"/>
    </row>
    <row r="902" ht="15.75" customHeight="1">
      <c r="C902" s="9"/>
      <c r="E902" s="9"/>
    </row>
    <row r="903" ht="15.75" customHeight="1">
      <c r="C903" s="9"/>
      <c r="E903" s="9"/>
    </row>
    <row r="904" ht="15.75" customHeight="1">
      <c r="C904" s="9"/>
      <c r="E904" s="9"/>
    </row>
    <row r="905" ht="15.75" customHeight="1">
      <c r="C905" s="9"/>
      <c r="E905" s="9"/>
    </row>
    <row r="906" ht="15.75" customHeight="1">
      <c r="C906" s="9"/>
      <c r="E906" s="9"/>
    </row>
    <row r="907" ht="15.75" customHeight="1">
      <c r="C907" s="9"/>
      <c r="E907" s="9"/>
    </row>
    <row r="908" ht="15.75" customHeight="1">
      <c r="C908" s="9"/>
      <c r="E908" s="9"/>
    </row>
    <row r="909" ht="15.75" customHeight="1">
      <c r="C909" s="9"/>
      <c r="E909" s="9"/>
    </row>
    <row r="910" ht="15.75" customHeight="1">
      <c r="C910" s="9"/>
      <c r="E910" s="9"/>
    </row>
    <row r="911" ht="15.75" customHeight="1">
      <c r="C911" s="9"/>
      <c r="E911" s="9"/>
    </row>
    <row r="912" ht="15.75" customHeight="1">
      <c r="C912" s="9"/>
      <c r="E912" s="9"/>
    </row>
    <row r="913" ht="15.75" customHeight="1">
      <c r="C913" s="9"/>
      <c r="E913" s="9"/>
    </row>
    <row r="914" ht="15.75" customHeight="1">
      <c r="C914" s="9"/>
      <c r="E914" s="9"/>
    </row>
    <row r="915" ht="15.75" customHeight="1">
      <c r="C915" s="9"/>
      <c r="E915" s="9"/>
    </row>
    <row r="916" ht="15.75" customHeight="1">
      <c r="C916" s="9"/>
      <c r="E916" s="9"/>
    </row>
    <row r="917" ht="15.75" customHeight="1">
      <c r="C917" s="9"/>
      <c r="E917" s="9"/>
    </row>
    <row r="918" ht="15.75" customHeight="1">
      <c r="C918" s="9"/>
      <c r="E918" s="9"/>
    </row>
    <row r="919" ht="15.75" customHeight="1">
      <c r="C919" s="9"/>
      <c r="E919" s="9"/>
    </row>
    <row r="920" ht="15.75" customHeight="1">
      <c r="C920" s="9"/>
      <c r="E920" s="9"/>
    </row>
    <row r="921" ht="15.75" customHeight="1">
      <c r="C921" s="9"/>
      <c r="E921" s="9"/>
    </row>
    <row r="922" ht="15.75" customHeight="1">
      <c r="C922" s="9"/>
      <c r="E922" s="9"/>
    </row>
    <row r="923" ht="15.75" customHeight="1">
      <c r="C923" s="9"/>
      <c r="E923" s="9"/>
    </row>
    <row r="924" ht="15.75" customHeight="1">
      <c r="C924" s="9"/>
      <c r="E924" s="9"/>
    </row>
    <row r="925" ht="15.75" customHeight="1">
      <c r="C925" s="9"/>
      <c r="E925" s="9"/>
    </row>
    <row r="926" ht="15.75" customHeight="1">
      <c r="C926" s="9"/>
      <c r="E926" s="9"/>
    </row>
    <row r="927" ht="15.75" customHeight="1">
      <c r="C927" s="9"/>
      <c r="E927" s="9"/>
    </row>
    <row r="928" ht="15.75" customHeight="1">
      <c r="C928" s="9"/>
      <c r="E928" s="9"/>
    </row>
    <row r="929" ht="15.75" customHeight="1">
      <c r="C929" s="9"/>
      <c r="E929" s="9"/>
    </row>
    <row r="930" ht="15.75" customHeight="1">
      <c r="C930" s="9"/>
      <c r="E930" s="9"/>
    </row>
    <row r="931" ht="15.75" customHeight="1">
      <c r="C931" s="9"/>
      <c r="E931" s="9"/>
    </row>
    <row r="932" ht="15.75" customHeight="1">
      <c r="C932" s="9"/>
      <c r="E932" s="9"/>
    </row>
    <row r="933" ht="15.75" customHeight="1">
      <c r="C933" s="9"/>
      <c r="E933" s="9"/>
    </row>
    <row r="934" ht="15.75" customHeight="1">
      <c r="C934" s="9"/>
      <c r="E934" s="9"/>
    </row>
    <row r="935" ht="15.75" customHeight="1">
      <c r="C935" s="9"/>
      <c r="E935" s="9"/>
    </row>
    <row r="936" ht="15.75" customHeight="1">
      <c r="C936" s="9"/>
      <c r="E936" s="9"/>
    </row>
    <row r="937" ht="15.75" customHeight="1">
      <c r="C937" s="9"/>
      <c r="E937" s="9"/>
    </row>
    <row r="938" ht="15.75" customHeight="1">
      <c r="C938" s="9"/>
      <c r="E938" s="9"/>
    </row>
    <row r="939" ht="15.75" customHeight="1">
      <c r="C939" s="9"/>
      <c r="E939" s="9"/>
    </row>
    <row r="940" ht="15.75" customHeight="1">
      <c r="C940" s="9"/>
      <c r="E940" s="9"/>
    </row>
    <row r="941" ht="15.75" customHeight="1">
      <c r="C941" s="9"/>
      <c r="E941" s="9"/>
    </row>
    <row r="942" ht="15.75" customHeight="1">
      <c r="C942" s="9"/>
      <c r="E942" s="9"/>
    </row>
    <row r="943" ht="15.75" customHeight="1">
      <c r="C943" s="9"/>
      <c r="E943" s="9"/>
    </row>
    <row r="944" ht="15.75" customHeight="1">
      <c r="C944" s="9"/>
      <c r="E944" s="9"/>
    </row>
    <row r="945" ht="15.75" customHeight="1">
      <c r="C945" s="9"/>
      <c r="E945" s="9"/>
    </row>
    <row r="946" ht="15.75" customHeight="1">
      <c r="C946" s="9"/>
      <c r="E946" s="9"/>
    </row>
    <row r="947" ht="15.75" customHeight="1">
      <c r="C947" s="9"/>
      <c r="E947" s="9"/>
    </row>
    <row r="948" ht="15.75" customHeight="1">
      <c r="C948" s="9"/>
      <c r="E948" s="9"/>
    </row>
    <row r="949" ht="15.75" customHeight="1">
      <c r="C949" s="9"/>
      <c r="E949" s="9"/>
    </row>
    <row r="950" ht="15.75" customHeight="1">
      <c r="C950" s="9"/>
      <c r="E950" s="9"/>
    </row>
    <row r="951" ht="15.75" customHeight="1">
      <c r="C951" s="9"/>
      <c r="E951" s="9"/>
    </row>
    <row r="952" ht="15.75" customHeight="1">
      <c r="C952" s="9"/>
      <c r="E952" s="9"/>
    </row>
    <row r="953" ht="15.75" customHeight="1">
      <c r="C953" s="9"/>
      <c r="E953" s="9"/>
    </row>
    <row r="954" ht="15.75" customHeight="1">
      <c r="C954" s="9"/>
      <c r="E954" s="9"/>
    </row>
    <row r="955" ht="15.75" customHeight="1">
      <c r="C955" s="9"/>
      <c r="E955" s="9"/>
    </row>
    <row r="956" ht="15.75" customHeight="1">
      <c r="C956" s="9"/>
      <c r="E956" s="9"/>
    </row>
    <row r="957" ht="15.75" customHeight="1">
      <c r="C957" s="9"/>
      <c r="E957" s="9"/>
    </row>
    <row r="958" ht="15.75" customHeight="1">
      <c r="C958" s="9"/>
      <c r="E958" s="9"/>
    </row>
    <row r="959" ht="15.75" customHeight="1">
      <c r="C959" s="9"/>
      <c r="E959" s="9"/>
    </row>
    <row r="960" ht="15.75" customHeight="1">
      <c r="C960" s="9"/>
      <c r="E960" s="9"/>
    </row>
    <row r="961" ht="15.75" customHeight="1">
      <c r="C961" s="9"/>
      <c r="E961" s="9"/>
    </row>
    <row r="962" ht="15.75" customHeight="1">
      <c r="C962" s="9"/>
      <c r="E962" s="9"/>
    </row>
    <row r="963" ht="15.75" customHeight="1">
      <c r="C963" s="9"/>
      <c r="E963" s="9"/>
    </row>
    <row r="964" ht="15.75" customHeight="1">
      <c r="C964" s="9"/>
      <c r="E964" s="9"/>
    </row>
    <row r="965" ht="15.75" customHeight="1">
      <c r="C965" s="9"/>
      <c r="E965" s="9"/>
    </row>
    <row r="966" ht="15.75" customHeight="1">
      <c r="C966" s="9"/>
      <c r="E966" s="9"/>
    </row>
    <row r="967" ht="15.75" customHeight="1">
      <c r="C967" s="9"/>
      <c r="E967" s="9"/>
    </row>
    <row r="968" ht="15.75" customHeight="1">
      <c r="C968" s="9"/>
      <c r="E968" s="9"/>
    </row>
    <row r="969" ht="15.75" customHeight="1">
      <c r="C969" s="9"/>
      <c r="E969" s="9"/>
    </row>
    <row r="970" ht="15.75" customHeight="1">
      <c r="C970" s="9"/>
      <c r="E970" s="9"/>
    </row>
    <row r="971" ht="15.75" customHeight="1">
      <c r="C971" s="9"/>
      <c r="E971" s="9"/>
    </row>
    <row r="972" ht="15.75" customHeight="1">
      <c r="C972" s="9"/>
      <c r="E972" s="9"/>
    </row>
    <row r="973" ht="15.75" customHeight="1">
      <c r="C973" s="9"/>
      <c r="E973" s="9"/>
    </row>
    <row r="974" ht="15.75" customHeight="1">
      <c r="C974" s="9"/>
      <c r="E974" s="9"/>
    </row>
    <row r="975" ht="15.75" customHeight="1">
      <c r="C975" s="9"/>
      <c r="E975" s="9"/>
    </row>
    <row r="976" ht="15.75" customHeight="1">
      <c r="C976" s="9"/>
      <c r="E976" s="9"/>
    </row>
    <row r="977" ht="15.75" customHeight="1">
      <c r="C977" s="9"/>
      <c r="E977" s="9"/>
    </row>
    <row r="978" ht="15.75" customHeight="1">
      <c r="C978" s="9"/>
      <c r="E978" s="9"/>
    </row>
    <row r="979" ht="15.75" customHeight="1">
      <c r="C979" s="9"/>
      <c r="E979" s="9"/>
    </row>
    <row r="980" ht="15.75" customHeight="1">
      <c r="C980" s="9"/>
      <c r="E980" s="9"/>
    </row>
    <row r="981" ht="15.75" customHeight="1">
      <c r="C981" s="9"/>
      <c r="E981" s="9"/>
    </row>
    <row r="982" ht="15.75" customHeight="1">
      <c r="C982" s="9"/>
      <c r="E982" s="9"/>
    </row>
    <row r="983" ht="15.75" customHeight="1">
      <c r="C983" s="9"/>
      <c r="E983" s="9"/>
    </row>
    <row r="984" ht="15.75" customHeight="1">
      <c r="C984" s="9"/>
      <c r="E984" s="9"/>
    </row>
    <row r="985" ht="15.75" customHeight="1">
      <c r="C985" s="9"/>
      <c r="E985" s="9"/>
    </row>
    <row r="986" ht="15.75" customHeight="1">
      <c r="C986" s="9"/>
      <c r="E986" s="9"/>
    </row>
    <row r="987" ht="15.75" customHeight="1">
      <c r="C987" s="9"/>
      <c r="E987" s="9"/>
    </row>
    <row r="988" ht="15.75" customHeight="1">
      <c r="C988" s="9"/>
      <c r="E988" s="9"/>
    </row>
    <row r="989" ht="15.75" customHeight="1">
      <c r="C989" s="9"/>
      <c r="E989" s="9"/>
    </row>
    <row r="990" ht="15.75" customHeight="1">
      <c r="C990" s="9"/>
      <c r="E990" s="9"/>
    </row>
    <row r="991" ht="15.75" customHeight="1">
      <c r="C991" s="9"/>
      <c r="E991" s="9"/>
    </row>
    <row r="992" ht="15.75" customHeight="1">
      <c r="C992" s="9"/>
      <c r="E992" s="9"/>
    </row>
    <row r="993" ht="15.75" customHeight="1">
      <c r="C993" s="9"/>
      <c r="E993" s="9"/>
    </row>
    <row r="994" ht="15.75" customHeight="1">
      <c r="C994" s="9"/>
      <c r="E994" s="9"/>
    </row>
    <row r="995" ht="15.75" customHeight="1">
      <c r="C995" s="9"/>
      <c r="E995" s="9"/>
    </row>
    <row r="996" ht="15.75" customHeight="1">
      <c r="C996" s="9"/>
      <c r="E996" s="9"/>
    </row>
    <row r="997" ht="15.75" customHeight="1">
      <c r="C997" s="9"/>
      <c r="E997" s="9"/>
    </row>
    <row r="998" ht="15.75" customHeight="1">
      <c r="C998" s="9"/>
      <c r="E998" s="9"/>
    </row>
    <row r="999" ht="15.75" customHeight="1">
      <c r="C999" s="9"/>
      <c r="E999" s="9"/>
    </row>
    <row r="1000" ht="15.75" customHeight="1">
      <c r="C1000" s="9"/>
      <c r="E1000" s="9"/>
    </row>
  </sheetData>
  <conditionalFormatting sqref="O1:O1000">
    <cfRule type="containsText" dxfId="5" priority="1" operator="containsText" text="Behind">
      <formula>NOT(ISERROR(SEARCH(("Behind"),(O1))))</formula>
    </cfRule>
  </conditionalFormatting>
  <conditionalFormatting sqref="O1:O1000">
    <cfRule type="containsText" dxfId="6" priority="2" operator="containsText" text="Ahead">
      <formula>NOT(ISERROR(SEARCH(("Ahead"),(O1))))</formula>
    </cfRule>
  </conditionalFormatting>
  <conditionalFormatting sqref="N1:N1000">
    <cfRule type="containsText" dxfId="6" priority="3" operator="containsText" text="Under">
      <formula>NOT(ISERROR(SEARCH(("Under"),(N1))))</formula>
    </cfRule>
  </conditionalFormatting>
  <conditionalFormatting sqref="N1:N1000">
    <cfRule type="containsText" dxfId="5" priority="4" operator="containsText" text="Over">
      <formula>NOT(ISERROR(SEARCH(("Over"),(N1))))</formula>
    </cfRule>
  </conditionalFormatting>
  <dataValidations>
    <dataValidation type="custom" allowBlank="1" showDropDown="1" sqref="C2:M101">
      <formula1>AND(ISNUMBER(C2),(NOT(OR(NOT(ISERROR(DATEVALUE(C2))), AND(ISNUMBER(C2), LEFT(CELL("format", C2))="D")))))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8.57"/>
    <col customWidth="1" min="4" max="4" width="20.0"/>
    <col customWidth="1" min="5" max="5" width="21.86"/>
    <col customWidth="1" min="6" max="6" width="15.43"/>
  </cols>
  <sheetData>
    <row r="1">
      <c r="A1" s="10" t="str">
        <f t="array" ref="A1:A12">UNIQUE('Tech Projects'!B:B)</f>
        <v>Business Sector</v>
      </c>
      <c r="B1" s="11" t="s">
        <v>127</v>
      </c>
      <c r="C1" s="11" t="s">
        <v>128</v>
      </c>
      <c r="D1" s="11" t="s">
        <v>129</v>
      </c>
      <c r="E1" s="11" t="s">
        <v>130</v>
      </c>
      <c r="F1" s="11" t="s">
        <v>131</v>
      </c>
      <c r="G1" s="11" t="s">
        <v>132</v>
      </c>
    </row>
    <row r="2">
      <c r="A2" s="12" t="s">
        <v>18</v>
      </c>
      <c r="B2" s="12">
        <f>IF(Averages!B2&gt;0.9,1,0)</f>
        <v>1</v>
      </c>
      <c r="C2" s="12">
        <f>IF(Averages!C2&gt;0.75,1,0)</f>
        <v>1</v>
      </c>
      <c r="D2" s="12">
        <f>IF(Averages!D2&lt;0.5,1,0)</f>
        <v>0</v>
      </c>
      <c r="E2" s="12">
        <f>IF((Averages!F2/Averages!G2)&gt;0.3,1,0)</f>
        <v>0</v>
      </c>
      <c r="F2" s="12">
        <f>IF(Averages!H2&gt;=0.9,1,0)</f>
        <v>1</v>
      </c>
      <c r="G2" s="12">
        <f t="shared" ref="G2:G11" si="1">SUM(B2:F2)</f>
        <v>3</v>
      </c>
    </row>
    <row r="3">
      <c r="A3" s="12" t="s">
        <v>20</v>
      </c>
      <c r="B3" s="12">
        <f>IF(Averages!B3&gt;0.9,1,0)</f>
        <v>1</v>
      </c>
      <c r="C3" s="12">
        <f>IF(Averages!C3&gt;0.75,1,0)</f>
        <v>1</v>
      </c>
      <c r="D3" s="12">
        <f>IF(Averages!D3&lt;0.5,1,0)</f>
        <v>1</v>
      </c>
      <c r="E3" s="12">
        <f>IF((Averages!F3/Averages!G3)&gt;0.3,1,0)</f>
        <v>1</v>
      </c>
      <c r="F3" s="12">
        <f>IF(Averages!H3&gt;=0.9,1,0)</f>
        <v>0</v>
      </c>
      <c r="G3" s="12">
        <f t="shared" si="1"/>
        <v>4</v>
      </c>
    </row>
    <row r="4">
      <c r="A4" s="12" t="s">
        <v>22</v>
      </c>
      <c r="B4" s="12">
        <f>IF(Averages!B4&gt;0.9,1,0)</f>
        <v>1</v>
      </c>
      <c r="C4" s="12">
        <f>IF(Averages!C4&gt;0.75,1,0)</f>
        <v>1</v>
      </c>
      <c r="D4" s="12">
        <f>IF(Averages!D4&lt;0.5,1,0)</f>
        <v>1</v>
      </c>
      <c r="E4" s="12">
        <f>IF((Averages!F4/Averages!G4)&gt;0.3,1,0)</f>
        <v>1</v>
      </c>
      <c r="F4" s="12">
        <f>IF(Averages!H4&gt;=0.9,1,0)</f>
        <v>1</v>
      </c>
      <c r="G4" s="12">
        <f t="shared" si="1"/>
        <v>5</v>
      </c>
    </row>
    <row r="5">
      <c r="A5" s="12" t="s">
        <v>24</v>
      </c>
      <c r="B5" s="12">
        <f>IF(Averages!B5&gt;0.9,1,0)</f>
        <v>1</v>
      </c>
      <c r="C5" s="12">
        <f>IF(Averages!C5&gt;0.75,1,0)</f>
        <v>1</v>
      </c>
      <c r="D5" s="12">
        <f>IF(Averages!D5&lt;0.5,1,0)</f>
        <v>0</v>
      </c>
      <c r="E5" s="12">
        <f>IF((Averages!F5/Averages!G5)&gt;0.3,1,0)</f>
        <v>1</v>
      </c>
      <c r="F5" s="12">
        <f>IF(Averages!H5&gt;=0.9,1,0)</f>
        <v>1</v>
      </c>
      <c r="G5" s="12">
        <f t="shared" si="1"/>
        <v>4</v>
      </c>
    </row>
    <row r="6">
      <c r="A6" s="12" t="s">
        <v>26</v>
      </c>
      <c r="B6" s="12">
        <f>IF(Averages!B6&gt;0.9,1,0)</f>
        <v>1</v>
      </c>
      <c r="C6" s="12">
        <f>IF(Averages!C6&gt;0.75,1,0)</f>
        <v>1</v>
      </c>
      <c r="D6" s="12">
        <f>IF(Averages!D6&lt;0.5,1,0)</f>
        <v>1</v>
      </c>
      <c r="E6" s="12">
        <f>IF((Averages!F6/Averages!G6)&gt;0.3,1,0)</f>
        <v>1</v>
      </c>
      <c r="F6" s="12">
        <f>IF(Averages!H6&gt;=0.9,1,0)</f>
        <v>1</v>
      </c>
      <c r="G6" s="12">
        <f t="shared" si="1"/>
        <v>5</v>
      </c>
    </row>
    <row r="7">
      <c r="A7" s="12" t="s">
        <v>31</v>
      </c>
      <c r="B7" s="12">
        <f>IF(Averages!B7&gt;0.9,1,0)</f>
        <v>0</v>
      </c>
      <c r="C7" s="12">
        <f>IF(Averages!C7&gt;0.75,1,0)</f>
        <v>1</v>
      </c>
      <c r="D7" s="12">
        <f>IF(Averages!D7&lt;0.5,1,0)</f>
        <v>0</v>
      </c>
      <c r="E7" s="12">
        <f>IF((Averages!F7/Averages!G7)&gt;0.3,1,0)</f>
        <v>1</v>
      </c>
      <c r="F7" s="12">
        <f>IF(Averages!H7&gt;=0.9,1,0)</f>
        <v>1</v>
      </c>
      <c r="G7" s="12">
        <f t="shared" si="1"/>
        <v>3</v>
      </c>
    </row>
    <row r="8">
      <c r="A8" s="12" t="s">
        <v>33</v>
      </c>
      <c r="B8" s="12">
        <f>IF(Averages!B8&gt;0.9,1,0)</f>
        <v>1</v>
      </c>
      <c r="C8" s="12">
        <f>IF(Averages!C8&gt;0.75,1,0)</f>
        <v>1</v>
      </c>
      <c r="D8" s="12">
        <f>IF(Averages!D8&lt;0.5,1,0)</f>
        <v>0</v>
      </c>
      <c r="E8" s="12">
        <f>IF((Averages!F8/Averages!G8)&gt;0.3,1,0)</f>
        <v>1</v>
      </c>
      <c r="F8" s="12">
        <f>IF(Averages!H8&gt;=0.9,1,0)</f>
        <v>1</v>
      </c>
      <c r="G8" s="12">
        <f t="shared" si="1"/>
        <v>4</v>
      </c>
    </row>
    <row r="9">
      <c r="A9" s="12" t="s">
        <v>39</v>
      </c>
      <c r="B9" s="12">
        <f>IF(Averages!B9&gt;0.9,1,0)</f>
        <v>1</v>
      </c>
      <c r="C9" s="12">
        <f>IF(Averages!C9&gt;0.75,1,0)</f>
        <v>1</v>
      </c>
      <c r="D9" s="12">
        <f>IF(Averages!D9&lt;0.5,1,0)</f>
        <v>1</v>
      </c>
      <c r="E9" s="12">
        <f>IF((Averages!F9/Averages!G9)&gt;0.3,1,0)</f>
        <v>1</v>
      </c>
      <c r="F9" s="12">
        <f>IF(Averages!H9&gt;=0.9,1,0)</f>
        <v>1</v>
      </c>
      <c r="G9" s="12">
        <f t="shared" si="1"/>
        <v>5</v>
      </c>
    </row>
    <row r="10">
      <c r="A10" s="12" t="s">
        <v>51</v>
      </c>
      <c r="B10" s="12">
        <f>IF(Averages!B10&gt;0.9,1,0)</f>
        <v>0</v>
      </c>
      <c r="C10" s="12">
        <f>IF(Averages!C10&gt;0.75,1,0)</f>
        <v>0</v>
      </c>
      <c r="D10" s="12">
        <f>IF(Averages!D10&lt;0.5,1,0)</f>
        <v>0</v>
      </c>
      <c r="E10" s="12">
        <f>IF((Averages!F10/Averages!G10)&gt;0.3,1,0)</f>
        <v>0</v>
      </c>
      <c r="F10" s="12">
        <f>IF(Averages!H10&gt;=0.9,1,0)</f>
        <v>1</v>
      </c>
      <c r="G10" s="12">
        <f t="shared" si="1"/>
        <v>1</v>
      </c>
    </row>
    <row r="11">
      <c r="A11" s="12" t="s">
        <v>58</v>
      </c>
      <c r="B11" s="12">
        <f>IF(Averages!B11&gt;0.9,1,0)</f>
        <v>1</v>
      </c>
      <c r="C11" s="12">
        <f>IF(Averages!C11&gt;0.75,1,0)</f>
        <v>1</v>
      </c>
      <c r="D11" s="12">
        <f>IF(Averages!D11&lt;0.5,1,0)</f>
        <v>1</v>
      </c>
      <c r="E11" s="12">
        <f>IF((Averages!F11/Averages!G11)&gt;0.3,1,0)</f>
        <v>1</v>
      </c>
      <c r="F11" s="12">
        <f>IF(Averages!H11&gt;=0.9,1,0)</f>
        <v>1</v>
      </c>
      <c r="G11" s="12">
        <f t="shared" si="1"/>
        <v>5</v>
      </c>
    </row>
    <row r="12">
      <c r="A12" s="12"/>
    </row>
    <row r="13">
      <c r="A13" s="13" t="s">
        <v>133</v>
      </c>
    </row>
    <row r="14">
      <c r="A14" s="13" t="s">
        <v>134</v>
      </c>
    </row>
    <row r="15">
      <c r="A15" s="13" t="s">
        <v>135</v>
      </c>
    </row>
    <row r="16">
      <c r="A16" s="13" t="s">
        <v>136</v>
      </c>
    </row>
    <row r="17">
      <c r="A17" s="13" t="s">
        <v>137</v>
      </c>
    </row>
    <row r="19">
      <c r="A19" s="13" t="s">
        <v>138</v>
      </c>
    </row>
    <row r="20">
      <c r="A20" s="13" t="s">
        <v>139</v>
      </c>
    </row>
  </sheetData>
  <conditionalFormatting sqref="B2:F11">
    <cfRule type="cellIs" dxfId="6" priority="1" operator="greaterThan">
      <formula>0</formula>
    </cfRule>
  </conditionalFormatting>
  <conditionalFormatting sqref="B2:F11">
    <cfRule type="cellIs" dxfId="5" priority="2" operator="lessThan">
      <formula>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57"/>
    <col customWidth="1" min="5" max="5" width="16.86"/>
    <col customWidth="1" min="6" max="6" width="31.71"/>
    <col customWidth="1" min="7" max="7" width="21.86"/>
  </cols>
  <sheetData>
    <row r="1">
      <c r="B1" s="14" t="s">
        <v>140</v>
      </c>
      <c r="C1" s="14" t="s">
        <v>128</v>
      </c>
      <c r="D1" s="14" t="s">
        <v>141</v>
      </c>
      <c r="E1" s="14" t="s">
        <v>142</v>
      </c>
      <c r="F1" s="11" t="s">
        <v>143</v>
      </c>
      <c r="G1" s="11" t="s">
        <v>144</v>
      </c>
      <c r="H1" s="11" t="s">
        <v>145</v>
      </c>
    </row>
    <row r="2">
      <c r="A2" s="10" t="str">
        <f t="array" ref="A2:A11">UNIQUE('Tech Projects'!B2:B101)</f>
        <v>E-Commerce</v>
      </c>
      <c r="B2" s="15">
        <f>AVERAGEIF('Tech Projects'!B:B,A2,'Tech Projects'!K:K)</f>
        <v>1.029771379</v>
      </c>
      <c r="C2" s="15">
        <f>AVERAGEIF('Tech Projects'!B:B,A2,'Tech Projects'!M:M)</f>
        <v>1.641711605</v>
      </c>
      <c r="D2" s="16">
        <f>(COUNTIFS('Tech Projects'!B:B,A2,'Tech Projects'!N:N,"Over Budget")/COUNTIF('Tech Projects'!B:B,A2))</f>
        <v>0.6666666667</v>
      </c>
      <c r="E2" s="16">
        <f>(COUNTIFS('Tech Projects'!B:B,A2,'Tech Projects'!N:N,"Under Budget")/COUNTIF('Tech Projects'!B:B,A2))</f>
        <v>0.3333333333</v>
      </c>
      <c r="F2" s="17">
        <f>SUMIF('Tech Projects'!B:B,A2,'Tech Projects'!C:C)-SUMIF('Tech Projects'!B:B,A2,'Tech Projects'!E:E)</f>
        <v>684659</v>
      </c>
      <c r="G2" s="17">
        <f>SUMIF('Tech Projects'!B:B,A2,'Tech Projects'!C:C)</f>
        <v>2365000</v>
      </c>
      <c r="H2" s="12">
        <f>AVERAGEIF('Tech Projects'!B:B,A2,'Tech Projects'!Q:Q)</f>
        <v>5.90553482</v>
      </c>
    </row>
    <row r="3">
      <c r="A3" s="10" t="s">
        <v>20</v>
      </c>
      <c r="B3" s="15">
        <f>AVERAGEIF('Tech Projects'!B:B,A3,'Tech Projects'!K:K)</f>
        <v>1.684958168</v>
      </c>
      <c r="C3" s="15">
        <f>AVERAGEIF('Tech Projects'!B:B,A3,'Tech Projects'!M:M)</f>
        <v>2.356968961</v>
      </c>
      <c r="D3" s="16">
        <f>(COUNTIFS('Tech Projects'!B:B,A3,'Tech Projects'!N:N,"Over Budget")/COUNTIF('Tech Projects'!B:B,A3))</f>
        <v>0.3</v>
      </c>
      <c r="E3" s="16">
        <f>(COUNTIFS('Tech Projects'!B:B,A3,'Tech Projects'!N:N,"Under Budget")/COUNTIF('Tech Projects'!B:B,A3))</f>
        <v>0.7</v>
      </c>
      <c r="F3" s="17">
        <f>SUMIF('Tech Projects'!B:B,A3,'Tech Projects'!C:C)-SUMIF('Tech Projects'!B:B,A3,'Tech Projects'!E:E)</f>
        <v>1270444</v>
      </c>
      <c r="G3" s="17">
        <f>SUMIF('Tech Projects'!B:B,A3,'Tech Projects'!C:C)</f>
        <v>3080000</v>
      </c>
      <c r="H3" s="12">
        <f>AVERAGEIF('Tech Projects'!B:B,A3,'Tech Projects'!Q:Q)</f>
        <v>0.8560794569</v>
      </c>
    </row>
    <row r="4">
      <c r="A4" s="10" t="s">
        <v>22</v>
      </c>
      <c r="B4" s="15">
        <f>AVERAGEIF('Tech Projects'!B:B,A4,'Tech Projects'!K:K)</f>
        <v>4.04636942</v>
      </c>
      <c r="C4" s="15">
        <f>AVERAGEIF('Tech Projects'!B:B,A4,'Tech Projects'!M:M)</f>
        <v>1.792335245</v>
      </c>
      <c r="D4" s="16">
        <f>(COUNTIFS('Tech Projects'!B:B,A4,'Tech Projects'!N:N,"Over Budget")/COUNTIF('Tech Projects'!B:B,A4))</f>
        <v>0.3125</v>
      </c>
      <c r="E4" s="16">
        <f>(COUNTIFS('Tech Projects'!B:B,A4,'Tech Projects'!N:N,"Under Budget")/COUNTIF('Tech Projects'!B:B,A4))</f>
        <v>0.6875</v>
      </c>
      <c r="F4" s="17">
        <f>SUMIF('Tech Projects'!B:B,A4,'Tech Projects'!C:C)-SUMIF('Tech Projects'!B:B,A4,'Tech Projects'!E:E)</f>
        <v>1781056</v>
      </c>
      <c r="G4" s="17">
        <f>SUMIF('Tech Projects'!B:B,A4,'Tech Projects'!C:C)</f>
        <v>3765000</v>
      </c>
      <c r="H4" s="12">
        <f>AVERAGEIF('Tech Projects'!B:B,A4,'Tech Projects'!Q:Q)</f>
        <v>1.708676759</v>
      </c>
    </row>
    <row r="5">
      <c r="A5" s="10" t="s">
        <v>24</v>
      </c>
      <c r="B5" s="15">
        <f>AVERAGEIF('Tech Projects'!B:B,A5,'Tech Projects'!K:K)</f>
        <v>4.892333766</v>
      </c>
      <c r="C5" s="15">
        <f>AVERAGEIF('Tech Projects'!B:B,A5,'Tech Projects'!M:M)</f>
        <v>2.893615098</v>
      </c>
      <c r="D5" s="16">
        <f>(COUNTIFS('Tech Projects'!B:B,A5,'Tech Projects'!N:N,"Over Budget")/COUNTIF('Tech Projects'!B:B,A5))</f>
        <v>0.6363636364</v>
      </c>
      <c r="E5" s="16">
        <f>(COUNTIFS('Tech Projects'!B:B,A5,'Tech Projects'!N:N,"Under Budget")/COUNTIF('Tech Projects'!B:B,A5))</f>
        <v>0.3636363636</v>
      </c>
      <c r="F5" s="17">
        <f>SUMIF('Tech Projects'!B:B,A5,'Tech Projects'!C:C)-SUMIF('Tech Projects'!B:B,A5,'Tech Projects'!E:E)</f>
        <v>2726151</v>
      </c>
      <c r="G5" s="17">
        <f>SUMIF('Tech Projects'!B:B,A5,'Tech Projects'!C:C)</f>
        <v>5390000</v>
      </c>
      <c r="H5" s="12">
        <f>AVERAGEIF('Tech Projects'!B:B,A5,'Tech Projects'!Q:Q)</f>
        <v>1.501323664</v>
      </c>
    </row>
    <row r="6">
      <c r="A6" s="10" t="s">
        <v>26</v>
      </c>
      <c r="B6" s="15">
        <f>AVERAGEIF('Tech Projects'!B:B,A6,'Tech Projects'!K:K)</f>
        <v>1.698149643</v>
      </c>
      <c r="C6" s="15">
        <f>AVERAGEIF('Tech Projects'!B:B,A6,'Tech Projects'!M:M)</f>
        <v>1.535070028</v>
      </c>
      <c r="D6" s="16">
        <f>(COUNTIFS('Tech Projects'!B:B,A6,'Tech Projects'!N:N,"Over Budget")/COUNTIF('Tech Projects'!B:B,A6))</f>
        <v>0.4545454545</v>
      </c>
      <c r="E6" s="16">
        <f>(COUNTIFS('Tech Projects'!B:B,A6,'Tech Projects'!N:N,"Under Budget")/COUNTIF('Tech Projects'!B:B,A6))</f>
        <v>0.5454545455</v>
      </c>
      <c r="F6" s="17">
        <f>SUMIF('Tech Projects'!B:B,A6,'Tech Projects'!C:C)-SUMIF('Tech Projects'!B:B,A6,'Tech Projects'!E:E)</f>
        <v>941947</v>
      </c>
      <c r="G6" s="17">
        <f>SUMIF('Tech Projects'!B:B,A6,'Tech Projects'!C:C)</f>
        <v>2240000</v>
      </c>
      <c r="H6" s="12">
        <f>AVERAGEIF('Tech Projects'!B:B,A6,'Tech Projects'!Q:Q)</f>
        <v>6.00806088</v>
      </c>
    </row>
    <row r="7">
      <c r="A7" s="10" t="s">
        <v>31</v>
      </c>
      <c r="B7" s="15">
        <f>AVERAGEIF('Tech Projects'!B:B,A7,'Tech Projects'!K:K)</f>
        <v>0.7907154915</v>
      </c>
      <c r="C7" s="15">
        <f>AVERAGEIF('Tech Projects'!B:B,A7,'Tech Projects'!M:M)</f>
        <v>1.575088435</v>
      </c>
      <c r="D7" s="16">
        <f>(COUNTIFS('Tech Projects'!B:B,A7,'Tech Projects'!N:N,"Over Budget")/COUNTIF('Tech Projects'!B:B,A7))</f>
        <v>0.7142857143</v>
      </c>
      <c r="E7" s="16">
        <f>(COUNTIFS('Tech Projects'!B:B,A7,'Tech Projects'!N:N,"Under Budget")/COUNTIF('Tech Projects'!B:B,A7))</f>
        <v>0.2857142857</v>
      </c>
      <c r="F7" s="17">
        <f>SUMIF('Tech Projects'!B:B,A7,'Tech Projects'!C:C)-SUMIF('Tech Projects'!B:B,A7,'Tech Projects'!E:E)</f>
        <v>1109802</v>
      </c>
      <c r="G7" s="17">
        <f>SUMIF('Tech Projects'!B:B,A7,'Tech Projects'!C:C)</f>
        <v>2360000</v>
      </c>
      <c r="H7" s="12">
        <f>AVERAGEIF('Tech Projects'!B:B,A7,'Tech Projects'!Q:Q)</f>
        <v>6.90535417</v>
      </c>
    </row>
    <row r="8">
      <c r="A8" s="10" t="s">
        <v>33</v>
      </c>
      <c r="B8" s="15">
        <f>AVERAGEIF('Tech Projects'!B:B,A8,'Tech Projects'!K:K)</f>
        <v>208.0614673</v>
      </c>
      <c r="C8" s="15">
        <f>AVERAGEIF('Tech Projects'!B:B,A8,'Tech Projects'!M:M)</f>
        <v>3.627095238</v>
      </c>
      <c r="D8" s="16">
        <f>(COUNTIFS('Tech Projects'!B:B,A8,'Tech Projects'!N:N,"Over Budget")/COUNTIF('Tech Projects'!B:B,A8))</f>
        <v>0.5</v>
      </c>
      <c r="E8" s="16">
        <f>(COUNTIFS('Tech Projects'!B:B,A8,'Tech Projects'!N:N,"Under Budget")/COUNTIF('Tech Projects'!B:B,A8))</f>
        <v>0.5</v>
      </c>
      <c r="F8" s="17">
        <f>SUMIF('Tech Projects'!B:B,A8,'Tech Projects'!C:C)-SUMIF('Tech Projects'!B:B,A8,'Tech Projects'!E:E)</f>
        <v>1731268</v>
      </c>
      <c r="G8" s="17">
        <f>SUMIF('Tech Projects'!B:B,A8,'Tech Projects'!C:C)</f>
        <v>3445000</v>
      </c>
      <c r="H8" s="12">
        <f>AVERAGEIF('Tech Projects'!B:B,A8,'Tech Projects'!Q:Q)</f>
        <v>3.204658865</v>
      </c>
    </row>
    <row r="9">
      <c r="A9" s="10" t="s">
        <v>39</v>
      </c>
      <c r="B9" s="15">
        <f>AVERAGEIF('Tech Projects'!B:B,A9,'Tech Projects'!K:K)</f>
        <v>7.907358198</v>
      </c>
      <c r="C9" s="15">
        <f>AVERAGEIF('Tech Projects'!B:B,A9,'Tech Projects'!M:M)</f>
        <v>1.540525253</v>
      </c>
      <c r="D9" s="16">
        <f>(COUNTIFS('Tech Projects'!B:B,A9,'Tech Projects'!N:N,"Over Budget")/COUNTIF('Tech Projects'!B:B,A9))</f>
        <v>0.4</v>
      </c>
      <c r="E9" s="16">
        <f>(COUNTIFS('Tech Projects'!B:B,A9,'Tech Projects'!N:N,"Under Budget")/COUNTIF('Tech Projects'!B:B,A9))</f>
        <v>0.6</v>
      </c>
      <c r="F9" s="17">
        <f>SUMIF('Tech Projects'!B:B,A9,'Tech Projects'!C:C)-SUMIF('Tech Projects'!B:B,A9,'Tech Projects'!E:E)</f>
        <v>1533399</v>
      </c>
      <c r="G9" s="17">
        <f>SUMIF('Tech Projects'!B:B,A9,'Tech Projects'!C:C)</f>
        <v>2495000</v>
      </c>
      <c r="H9" s="12">
        <f>AVERAGEIF('Tech Projects'!B:B,A9,'Tech Projects'!Q:Q)</f>
        <v>34.32634156</v>
      </c>
    </row>
    <row r="10">
      <c r="A10" s="10" t="s">
        <v>51</v>
      </c>
      <c r="B10" s="15">
        <f>AVERAGEIF('Tech Projects'!B:B,A10,'Tech Projects'!K:K)</f>
        <v>0.6208315721</v>
      </c>
      <c r="C10" s="15">
        <f>AVERAGEIF('Tech Projects'!B:B,A10,'Tech Projects'!M:M)</f>
        <v>0.5962666667</v>
      </c>
      <c r="D10" s="16">
        <f>(COUNTIFS('Tech Projects'!B:B,A10,'Tech Projects'!N:N,"Over Budget")/COUNTIF('Tech Projects'!B:B,A10))</f>
        <v>0.8</v>
      </c>
      <c r="E10" s="16">
        <f>(COUNTIFS('Tech Projects'!B:B,A10,'Tech Projects'!N:N,"Under Budget")/COUNTIF('Tech Projects'!B:B,A10))</f>
        <v>0.2</v>
      </c>
      <c r="F10" s="17">
        <f>SUMIF('Tech Projects'!B:B,A10,'Tech Projects'!C:C)-SUMIF('Tech Projects'!B:B,A10,'Tech Projects'!E:E)</f>
        <v>296223</v>
      </c>
      <c r="G10" s="17">
        <f>SUMIF('Tech Projects'!B:B,A10,'Tech Projects'!C:C)</f>
        <v>1765000</v>
      </c>
      <c r="H10" s="12">
        <f>AVERAGEIF('Tech Projects'!B:B,A10,'Tech Projects'!Q:Q)</f>
        <v>22.003633</v>
      </c>
    </row>
    <row r="11">
      <c r="A11" s="10" t="s">
        <v>58</v>
      </c>
      <c r="B11" s="15">
        <f>AVERAGEIF('Tech Projects'!B:B,A11,'Tech Projects'!K:K)</f>
        <v>1.341970391</v>
      </c>
      <c r="C11" s="15">
        <f>AVERAGEIF('Tech Projects'!B:B,A11,'Tech Projects'!M:M)</f>
        <v>1.915703463</v>
      </c>
      <c r="D11" s="16">
        <f>(COUNTIFS('Tech Projects'!B:B,A11,'Tech Projects'!N:N,"Over Budget")/COUNTIF('Tech Projects'!B:B,A11))</f>
        <v>0.4285714286</v>
      </c>
      <c r="E11" s="16">
        <f>(COUNTIFS('Tech Projects'!B:B,A11,'Tech Projects'!N:N,"Under Budget")/COUNTIF('Tech Projects'!B:B,A11))</f>
        <v>0.5714285714</v>
      </c>
      <c r="F11" s="17">
        <f>SUMIF('Tech Projects'!B:B,A11,'Tech Projects'!C:C)-SUMIF('Tech Projects'!B:B,A11,'Tech Projects'!E:E)</f>
        <v>851859</v>
      </c>
      <c r="G11" s="17">
        <f>SUMIF('Tech Projects'!B:B,A11,'Tech Projects'!C:C)</f>
        <v>1995000</v>
      </c>
      <c r="H11" s="12">
        <f>AVERAGEIF('Tech Projects'!B:B,A11,'Tech Projects'!Q:Q)</f>
        <v>1.146180059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71"/>
    <col customWidth="1" min="2" max="2" width="22.86"/>
  </cols>
  <sheetData>
    <row r="1">
      <c r="A1" s="10" t="str">
        <f t="array" ref="A1:A12">UNIQUE('Tech Projects'!B:B)</f>
        <v>Business Sector</v>
      </c>
      <c r="B1" s="11" t="s">
        <v>146</v>
      </c>
    </row>
    <row r="2">
      <c r="A2" s="12" t="s">
        <v>18</v>
      </c>
      <c r="B2" s="12">
        <f>('Grading System'!G2)</f>
        <v>3</v>
      </c>
    </row>
    <row r="3">
      <c r="A3" s="12" t="s">
        <v>20</v>
      </c>
      <c r="B3" s="12">
        <f>('Grading System'!G3)</f>
        <v>4</v>
      </c>
    </row>
    <row r="4">
      <c r="A4" s="12" t="s">
        <v>22</v>
      </c>
      <c r="B4" s="12">
        <f>('Grading System'!G4)</f>
        <v>5</v>
      </c>
    </row>
    <row r="5">
      <c r="A5" s="12" t="s">
        <v>24</v>
      </c>
      <c r="B5" s="12">
        <f>('Grading System'!G5)</f>
        <v>4</v>
      </c>
    </row>
    <row r="6">
      <c r="A6" s="12" t="s">
        <v>26</v>
      </c>
      <c r="B6" s="12">
        <f>('Grading System'!G6)</f>
        <v>5</v>
      </c>
    </row>
    <row r="7">
      <c r="A7" s="12" t="s">
        <v>31</v>
      </c>
      <c r="B7" s="12">
        <f>('Grading System'!G7)</f>
        <v>3</v>
      </c>
    </row>
    <row r="8">
      <c r="A8" s="12" t="s">
        <v>33</v>
      </c>
      <c r="B8" s="12">
        <f>('Grading System'!G8)</f>
        <v>4</v>
      </c>
    </row>
    <row r="9">
      <c r="A9" s="12" t="s">
        <v>39</v>
      </c>
      <c r="B9" s="12">
        <f>('Grading System'!G9)</f>
        <v>5</v>
      </c>
    </row>
    <row r="10">
      <c r="A10" s="12" t="s">
        <v>51</v>
      </c>
      <c r="B10" s="12">
        <f>('Grading System'!G10)</f>
        <v>1</v>
      </c>
    </row>
    <row r="11">
      <c r="A11" s="12" t="s">
        <v>58</v>
      </c>
      <c r="B11" s="12">
        <f>('Grading System'!G11)</f>
        <v>5</v>
      </c>
    </row>
    <row r="12">
      <c r="A12" s="1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2026-01-04T00:13:14Z</dcterms:created>
  <dc:creator>openpyxl</dc:creator>
</cp:coreProperties>
</file>